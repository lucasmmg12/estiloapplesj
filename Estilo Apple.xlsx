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Phone" sheetId="1" r:id="rId4"/>
    <sheet state="visible" name="Reparaciones" sheetId="2" r:id="rId5"/>
    <sheet state="visible" name="Plan Canje" sheetId="3" r:id="rId6"/>
    <sheet state="visible" name="Lista Colegas" sheetId="4" r:id="rId7"/>
    <sheet state="visible" name="Tarjeta de crédito" sheetId="5" r:id="rId8"/>
    <sheet state="visible" name="A Pedido" sheetId="6" r:id="rId9"/>
    <sheet state="visible" name="Rep.Disp." sheetId="7" r:id="rId10"/>
  </sheets>
  <definedNames/>
  <calcPr/>
</workbook>
</file>

<file path=xl/sharedStrings.xml><?xml version="1.0" encoding="utf-8"?>
<sst xmlns="http://schemas.openxmlformats.org/spreadsheetml/2006/main" count="2164" uniqueCount="962">
  <si>
    <t>MODELO</t>
  </si>
  <si>
    <t>ESTADO</t>
  </si>
  <si>
    <t>IMEI</t>
  </si>
  <si>
    <t>PRECIO</t>
  </si>
  <si>
    <t>CONTADO</t>
  </si>
  <si>
    <t>GB / Batería</t>
  </si>
  <si>
    <t>NOMBRE / COMENTARIO</t>
  </si>
  <si>
    <t>FECHA COMPRA</t>
  </si>
  <si>
    <t>VTO. DE GARANTÍA</t>
  </si>
  <si>
    <t>COLABORADOR Y DETALLES</t>
  </si>
  <si>
    <t>ESTILO 1</t>
  </si>
  <si>
    <t>11/ ROJO</t>
  </si>
  <si>
    <t>USD220</t>
  </si>
  <si>
    <t>USD240</t>
  </si>
  <si>
    <t>64/ 87%</t>
  </si>
  <si>
    <t>JUANMA</t>
  </si>
  <si>
    <t>11/ NEGRO</t>
  </si>
  <si>
    <t>64/ 100%</t>
  </si>
  <si>
    <t>11 / BLANCO</t>
  </si>
  <si>
    <t>Usado</t>
  </si>
  <si>
    <t>128 / 83%</t>
  </si>
  <si>
    <t>E 2 /</t>
  </si>
  <si>
    <t xml:space="preserve">11 / NEGRO </t>
  </si>
  <si>
    <t>128 / 84%</t>
  </si>
  <si>
    <t xml:space="preserve"> </t>
  </si>
  <si>
    <t>E 1 /</t>
  </si>
  <si>
    <t>11 NEGRO</t>
  </si>
  <si>
    <t>USD250</t>
  </si>
  <si>
    <t>128/86</t>
  </si>
  <si>
    <t>11 / LILA</t>
  </si>
  <si>
    <t>128 / 100%</t>
  </si>
  <si>
    <t>11 / NEGRO</t>
  </si>
  <si>
    <t>256 / 100%</t>
  </si>
  <si>
    <t>11 PRO NEGRO</t>
  </si>
  <si>
    <t>USD290</t>
  </si>
  <si>
    <t>USD280</t>
  </si>
  <si>
    <t>64/100%</t>
  </si>
  <si>
    <t>11 PRO MAX NEGRO</t>
  </si>
  <si>
    <t>35353903103794572</t>
  </si>
  <si>
    <t>USD340</t>
  </si>
  <si>
    <t>USD320</t>
  </si>
  <si>
    <t>64/99%</t>
  </si>
  <si>
    <t>11 PRO MAX / DORADO</t>
  </si>
  <si>
    <t>64 / 100%</t>
  </si>
  <si>
    <t>12 MINI / VERDE</t>
  </si>
  <si>
    <t xml:space="preserve">12 MINI </t>
  </si>
  <si>
    <t>3530081107001576</t>
  </si>
  <si>
    <t>USD310</t>
  </si>
  <si>
    <t>128/100%</t>
  </si>
  <si>
    <t>12 / AZUL NOCHE</t>
  </si>
  <si>
    <t>SIN FACE ID</t>
  </si>
  <si>
    <t>12 AZUL</t>
  </si>
  <si>
    <t>USD330</t>
  </si>
  <si>
    <t>128/ 80</t>
  </si>
  <si>
    <t xml:space="preserve">12 / AZUL </t>
  </si>
  <si>
    <t>256 / 87%</t>
  </si>
  <si>
    <t>12 PRO GOLD</t>
  </si>
  <si>
    <t>USD 370</t>
  </si>
  <si>
    <t>USD350</t>
  </si>
  <si>
    <t>128/100</t>
  </si>
  <si>
    <t>13 MINI / ROSA</t>
  </si>
  <si>
    <t>13 / AZUL NOCHE</t>
  </si>
  <si>
    <t>13 / ROSA</t>
  </si>
  <si>
    <t>128 / 85%</t>
  </si>
  <si>
    <t>13 / ROJO</t>
  </si>
  <si>
    <t>128 / 87%</t>
  </si>
  <si>
    <t>13 NEGRO</t>
  </si>
  <si>
    <t>USD450</t>
  </si>
  <si>
    <t>USD435</t>
  </si>
  <si>
    <t>13 PRO GREEN</t>
  </si>
  <si>
    <t>USD500</t>
  </si>
  <si>
    <t>128 84</t>
  </si>
  <si>
    <t>13 PRO CELESTE</t>
  </si>
  <si>
    <t>3566733743551117</t>
  </si>
  <si>
    <t>USD575</t>
  </si>
  <si>
    <t>13 PRO MAX SILVER</t>
  </si>
  <si>
    <t>128 97</t>
  </si>
  <si>
    <t>13 PRO MAX CELESTE</t>
  </si>
  <si>
    <t>128 /100</t>
  </si>
  <si>
    <t>13 PROP MAX GRAFITO</t>
  </si>
  <si>
    <t>128 100</t>
  </si>
  <si>
    <t>14 / AZUL NOCHE</t>
  </si>
  <si>
    <t>128 / 85 %</t>
  </si>
  <si>
    <t>14 / LILA</t>
  </si>
  <si>
    <t>128 / 86%</t>
  </si>
  <si>
    <t>14 / CELESTE</t>
  </si>
  <si>
    <t>256 / 86%</t>
  </si>
  <si>
    <t>14 PRO / NEGRO</t>
  </si>
  <si>
    <t>14 PRO MAX / NEGRO</t>
  </si>
  <si>
    <t xml:space="preserve">FEDE R. </t>
  </si>
  <si>
    <t>15 / CELESTE</t>
  </si>
  <si>
    <t>128 88</t>
  </si>
  <si>
    <t>15 / NEGRO</t>
  </si>
  <si>
    <t xml:space="preserve">128 / 86% </t>
  </si>
  <si>
    <t>15 / AMARILLO</t>
  </si>
  <si>
    <t>ESTILO 2</t>
  </si>
  <si>
    <t>PRÓXIMOS INGRESOS / ALMACENADOS / SEÑADOS</t>
  </si>
  <si>
    <t>11 PRO MAX / VERDE</t>
  </si>
  <si>
    <t>-</t>
  </si>
  <si>
    <t>DEVOLUCIÓN BENJA</t>
  </si>
  <si>
    <t xml:space="preserve">13 PRO / GRAFITO </t>
  </si>
  <si>
    <t>ANTO - FACE ID</t>
  </si>
  <si>
    <t>ARREGLO PLACA (MZA)</t>
  </si>
  <si>
    <t>STOCK GUARDADO</t>
  </si>
  <si>
    <t>15 PRO / AZUL</t>
  </si>
  <si>
    <t xml:space="preserve">REVISAR PANTALLA </t>
  </si>
  <si>
    <t>E 2 / FEDE - FEDE R.</t>
  </si>
  <si>
    <t>14 PRO / PURPURA</t>
  </si>
  <si>
    <t>128 / 100</t>
  </si>
  <si>
    <t>CAMBIO TAPA Y BAT.</t>
  </si>
  <si>
    <t>SERIE 11 / JET BLACK (APPLE WATCH)</t>
  </si>
  <si>
    <t>Sellado</t>
  </si>
  <si>
    <t>PEDIR - PAGADO (kevin Olguin)</t>
  </si>
  <si>
    <t xml:space="preserve">E 2 / </t>
  </si>
  <si>
    <t>VENTAS Y GARANTIAS DE DICIEMBRE</t>
  </si>
  <si>
    <t>Tito</t>
  </si>
  <si>
    <t>Nahue</t>
  </si>
  <si>
    <t>X menor</t>
  </si>
  <si>
    <t>NAHUE</t>
  </si>
  <si>
    <t>X mayor</t>
  </si>
  <si>
    <t>EQUIPOS VENDIDOS 2025</t>
  </si>
  <si>
    <t>15 PRO / NEGRO</t>
  </si>
  <si>
    <t>256 / 91%</t>
  </si>
  <si>
    <t>EZEQUIEL CACERES</t>
  </si>
  <si>
    <t>E 2 / NAHUE - TITO</t>
  </si>
  <si>
    <t xml:space="preserve">Abril </t>
  </si>
  <si>
    <t xml:space="preserve">MES </t>
  </si>
  <si>
    <t>CANTIDAD</t>
  </si>
  <si>
    <t>17 PRO MAX / SILVER</t>
  </si>
  <si>
    <t xml:space="preserve">LUZ LUCERO </t>
  </si>
  <si>
    <t>E 1 / TITO</t>
  </si>
  <si>
    <t>Mayo</t>
  </si>
  <si>
    <t>ABRIL</t>
  </si>
  <si>
    <t>14 PRO MAX / DORADO</t>
  </si>
  <si>
    <t>JULISA CABREBA</t>
  </si>
  <si>
    <t>E 1 / NAHUE</t>
  </si>
  <si>
    <t>Junio</t>
  </si>
  <si>
    <t>MAYO</t>
  </si>
  <si>
    <t>JULIETA ABALLAY</t>
  </si>
  <si>
    <t>Julio</t>
  </si>
  <si>
    <t>JUNIO</t>
  </si>
  <si>
    <t>256 / 88%</t>
  </si>
  <si>
    <t>MATIAS NOGUERA</t>
  </si>
  <si>
    <t>E 2 / FEDE - GARANTIA</t>
  </si>
  <si>
    <t>Agosto</t>
  </si>
  <si>
    <t>JULIO</t>
  </si>
  <si>
    <t xml:space="preserve">128 / 100% </t>
  </si>
  <si>
    <t>MATIAS RIVEROS</t>
  </si>
  <si>
    <t>Septiembre</t>
  </si>
  <si>
    <t>AGOSTO</t>
  </si>
  <si>
    <t>17 PRO / BLUE</t>
  </si>
  <si>
    <t>LISANDRO ORITJA</t>
  </si>
  <si>
    <t>Octubre</t>
  </si>
  <si>
    <t>SEPTIEMBRE</t>
  </si>
  <si>
    <t>14 PRO SPACE</t>
  </si>
  <si>
    <t>FABRICIO QUIROGA</t>
  </si>
  <si>
    <t>17/12/25</t>
  </si>
  <si>
    <t>E2 / NAHUE - TITO (EQUIPO JUAN)</t>
  </si>
  <si>
    <t>Noviembre</t>
  </si>
  <si>
    <t>OCTUBRE</t>
  </si>
  <si>
    <t>128/ 100%</t>
  </si>
  <si>
    <t>ANTONELLA CARRIZO</t>
  </si>
  <si>
    <t>E2 / TITO (EQUIPO JUAN)</t>
  </si>
  <si>
    <t>Diciembre</t>
  </si>
  <si>
    <t>NOVIEMBRE</t>
  </si>
  <si>
    <t>16 / BLUE</t>
  </si>
  <si>
    <t>ROCIO ORITJA</t>
  </si>
  <si>
    <t>Total Anual</t>
  </si>
  <si>
    <t>DICIEMBRE</t>
  </si>
  <si>
    <t xml:space="preserve">13 / CELESTE mp </t>
  </si>
  <si>
    <t>128 / 88%</t>
  </si>
  <si>
    <t>SEBASTIAN RIVEROS</t>
  </si>
  <si>
    <t>E2 / TITO</t>
  </si>
  <si>
    <t>13 PRO MAX GRAFITO ctdo</t>
  </si>
  <si>
    <t>VALERIA  LERCHUNDI</t>
  </si>
  <si>
    <t>14 PRO SPACE transf</t>
  </si>
  <si>
    <t>usado</t>
  </si>
  <si>
    <t>NICOLAS BALBUENA</t>
  </si>
  <si>
    <t>E 2 / TITO - NAHUEL (EQUIPO JUAN)</t>
  </si>
  <si>
    <t>TITO</t>
  </si>
  <si>
    <t>13 PRO GRAFITO transf</t>
  </si>
  <si>
    <t>128 / 88</t>
  </si>
  <si>
    <t>LAURA ALGAÑARAZ</t>
  </si>
  <si>
    <t>E2 / TITO - NAHUE (EQUIPO JUAN)</t>
  </si>
  <si>
    <t>12 PRO MAX / AZUL mp</t>
  </si>
  <si>
    <t>ROBERTO HIDALGO</t>
  </si>
  <si>
    <t>E 2 / TITO</t>
  </si>
  <si>
    <t>16 ROSADO mp</t>
  </si>
  <si>
    <t>PAMELA MERCADO</t>
  </si>
  <si>
    <t>15 PRO / AZUL NOCHE</t>
  </si>
  <si>
    <t>128 / 92%</t>
  </si>
  <si>
    <t>EMANUEL MUÑOZ</t>
  </si>
  <si>
    <t>E 2 / NAHUEL - AGOS</t>
  </si>
  <si>
    <t>12 / VIOLETA</t>
  </si>
  <si>
    <t>DAYANA GALLASTEGUI</t>
  </si>
  <si>
    <t xml:space="preserve">E 2 / NAHUEL  </t>
  </si>
  <si>
    <t>16 / ROSA #</t>
  </si>
  <si>
    <t>PLAN CANJE</t>
  </si>
  <si>
    <t>MIGUEL VARELA</t>
  </si>
  <si>
    <t>E2 / AGOSTINA</t>
  </si>
  <si>
    <t>13 / BLANCO #</t>
  </si>
  <si>
    <t xml:space="preserve">JORGE GODOY </t>
  </si>
  <si>
    <t>13 PRO MAX / VERDE</t>
  </si>
  <si>
    <t xml:space="preserve">GABRIEL OLMOS </t>
  </si>
  <si>
    <t>13 PRO / GRAFITO</t>
  </si>
  <si>
    <t>SAMUEL RICHAVE</t>
  </si>
  <si>
    <t>E 1 / EMA - NAHUEL</t>
  </si>
  <si>
    <t>BENJAMIN FIRMAPAZ</t>
  </si>
  <si>
    <t>E 1 / EMA - TITO</t>
  </si>
  <si>
    <t>128 / 89%</t>
  </si>
  <si>
    <t>IGNACIO CARDOZO</t>
  </si>
  <si>
    <t>128 / 99%</t>
  </si>
  <si>
    <t>MARIELA MARTINEZ</t>
  </si>
  <si>
    <t>ANA PAULA ROJAS (BENJA F.)</t>
  </si>
  <si>
    <t>14 PRO MAX / BLANCO</t>
  </si>
  <si>
    <t>128 / 90 %</t>
  </si>
  <si>
    <t>MARCELO BAEZ</t>
  </si>
  <si>
    <t>13 PRO / DORADO</t>
  </si>
  <si>
    <t>ESTELA BEATRIZ FRASSON</t>
  </si>
  <si>
    <t>13 PRO / CELESTE</t>
  </si>
  <si>
    <t>128 / 82%</t>
  </si>
  <si>
    <t>JACQUELINE PARADISO</t>
  </si>
  <si>
    <t>E 1 / EMA</t>
  </si>
  <si>
    <t>14 PRO / BLANCO</t>
  </si>
  <si>
    <t>DANIEL DE LA VEGA</t>
  </si>
  <si>
    <t>E 2 / NAHUEL - TITO</t>
  </si>
  <si>
    <t xml:space="preserve">12 / BLANCO </t>
  </si>
  <si>
    <t>GABRIELA LUZ</t>
  </si>
  <si>
    <t>EVELIN VERGARA</t>
  </si>
  <si>
    <t>E 2 / NAHUEL</t>
  </si>
  <si>
    <t>14 PRO / DORADO</t>
  </si>
  <si>
    <t>EMILIANO MAINERI</t>
  </si>
  <si>
    <t>15 PRO MAX / NATURAL</t>
  </si>
  <si>
    <t>DANIEL POLITO</t>
  </si>
  <si>
    <t>13 / AZUL NOCHE #</t>
  </si>
  <si>
    <t>Luciano Farioli</t>
  </si>
  <si>
    <t>X MAYOR / NAHUEL</t>
  </si>
  <si>
    <t>13 PRO MAX / CELESTE</t>
  </si>
  <si>
    <t>13 PRO MAX / GRAFITO</t>
  </si>
  <si>
    <t>16 / BLANCO #</t>
  </si>
  <si>
    <t>3533726535003002</t>
  </si>
  <si>
    <t>13 / CELESTE #</t>
  </si>
  <si>
    <t>FACUNDO MACHADO</t>
  </si>
  <si>
    <t>16 PRO MAX / NEGRO #</t>
  </si>
  <si>
    <t>256 gb</t>
  </si>
  <si>
    <t>SERGIO GONZALES</t>
  </si>
  <si>
    <t>GIMENA ORTEGA</t>
  </si>
  <si>
    <t>E 1 / NAHUEL - TITO</t>
  </si>
  <si>
    <t>14 PRO MAX / PURPURA</t>
  </si>
  <si>
    <t>AGUSTIN ARROYO</t>
  </si>
  <si>
    <t>VIRGINIA PEREZ</t>
  </si>
  <si>
    <t>E 2 / NAHUEL - Deja 15 negro (96%)</t>
  </si>
  <si>
    <t>13 / VERDE</t>
  </si>
  <si>
    <t>13 / BLANCO</t>
  </si>
  <si>
    <t>LUCIANO MIRANDA</t>
  </si>
  <si>
    <t>NICOLAS GARCIA</t>
  </si>
  <si>
    <t>JOAQUIN OCHOA</t>
  </si>
  <si>
    <t>E 1 / TITO - AGOS</t>
  </si>
  <si>
    <t>13 MINI / BLANCO</t>
  </si>
  <si>
    <t>ANA PAULA ROMERO</t>
  </si>
  <si>
    <t>JIMENA SEGOVIA</t>
  </si>
  <si>
    <t>E 2 / NAHUEL - Deja 11 Lila</t>
  </si>
  <si>
    <t>256 / 97%</t>
  </si>
  <si>
    <t>JESICA SAAVEDRA</t>
  </si>
  <si>
    <t xml:space="preserve">E 2 /  EDU </t>
  </si>
  <si>
    <t xml:space="preserve">REINA GONZALEZ </t>
  </si>
  <si>
    <t>ALEJANDRO LOPEZ</t>
  </si>
  <si>
    <t>BEATRIZ CASTRO</t>
  </si>
  <si>
    <t>16 / BLANCO</t>
  </si>
  <si>
    <t>MARIA CANDELA GALLARDO</t>
  </si>
  <si>
    <t>E 2 / NAHUEL - Deja 15 celeste (97%)</t>
  </si>
  <si>
    <t>APPLE WATCH SE/ AZUL NOCHE</t>
  </si>
  <si>
    <t>L679X29X5P</t>
  </si>
  <si>
    <t>AMPARO BARROS</t>
  </si>
  <si>
    <t>E 1 / TITO - NAHUEL</t>
  </si>
  <si>
    <t>128 / 93%</t>
  </si>
  <si>
    <t>EDUARDO SAAVEDRA</t>
  </si>
  <si>
    <t>16 PRO / NEGRO</t>
  </si>
  <si>
    <t>GUSTAVO MASQUIJO</t>
  </si>
  <si>
    <t>16 PRO / DORADO</t>
  </si>
  <si>
    <t>AGOSTINA MAINERI</t>
  </si>
  <si>
    <t>MERCEDES PAEZ</t>
  </si>
  <si>
    <t>E 2 / NAHUEL - Deja 14 Pro púrpura</t>
  </si>
  <si>
    <t>FACUNDO MANZANARES</t>
  </si>
  <si>
    <t>E 2 / AGOS - TITO</t>
  </si>
  <si>
    <t xml:space="preserve">AGUSTIN GARCIA </t>
  </si>
  <si>
    <t>JUAN MANUEL RODRIGUEZ</t>
  </si>
  <si>
    <t>128/ 96%</t>
  </si>
  <si>
    <t>IVO CATANZARO</t>
  </si>
  <si>
    <t>E 2 / NAHUEL - Deja 12 Pro (dorado)</t>
  </si>
  <si>
    <r>
      <rPr>
        <rFont val="Arial"/>
        <b/>
        <color theme="1"/>
        <sz val="10.0"/>
      </rPr>
      <t xml:space="preserve">12 PRO / </t>
    </r>
    <r>
      <rPr>
        <rFont val="Arial"/>
        <b/>
        <color theme="1"/>
        <sz val="10.0"/>
      </rPr>
      <t>AZUL</t>
    </r>
  </si>
  <si>
    <t>ROMAN FRIAS</t>
  </si>
  <si>
    <t xml:space="preserve">JUAN PANTANO </t>
  </si>
  <si>
    <t>CHIRA QUIROGA</t>
  </si>
  <si>
    <t>E 2 / NAHUEL - Deja 11  (blanco)</t>
  </si>
  <si>
    <t>16 PRO MAX / BLANCO</t>
  </si>
  <si>
    <t xml:space="preserve">VICTORIA TORRES </t>
  </si>
  <si>
    <t>E2 / AGOSTINA- Deja 15 Pro Max (negro)</t>
  </si>
  <si>
    <t>YANINA OROZCO</t>
  </si>
  <si>
    <t>16 PRO MAX / DESERT</t>
  </si>
  <si>
    <t xml:space="preserve"> JAZMIN BAYER</t>
  </si>
  <si>
    <t xml:space="preserve"> NICOLAS RODRIGUEZ</t>
  </si>
  <si>
    <t>E2 / AGOSTINA- Deja 13 Pro (grafito)</t>
  </si>
  <si>
    <t>15 / CELESTE #</t>
  </si>
  <si>
    <t>128 gb</t>
  </si>
  <si>
    <t>Nacho</t>
  </si>
  <si>
    <t>256 / 96%</t>
  </si>
  <si>
    <t>14 / ROJO</t>
  </si>
  <si>
    <t xml:space="preserve">15 PRO / AZUL </t>
  </si>
  <si>
    <t>12 MINI / LILA</t>
  </si>
  <si>
    <t>JULIETA IBAZETA</t>
  </si>
  <si>
    <t>12 / BLANCO</t>
  </si>
  <si>
    <t xml:space="preserve">MARIA REQUENA </t>
  </si>
  <si>
    <t xml:space="preserve">E2 / AGOS (iP. 11 - 256Gb - 250usd) </t>
  </si>
  <si>
    <t>CONSTANZA DE VITA</t>
  </si>
  <si>
    <t>E2 / AGOS (Promo AirPods)</t>
  </si>
  <si>
    <t>16 PRO / BLANCO #</t>
  </si>
  <si>
    <t>JOSEFINA ZARRACAN</t>
  </si>
  <si>
    <t>E 2 / NAHUE (iP 13Pro - 128Gb - 450usd)</t>
  </si>
  <si>
    <t>NICOLE VILLALVA</t>
  </si>
  <si>
    <t>15 / NEGRO #</t>
  </si>
  <si>
    <t>NATALIA SAAVEDRA</t>
  </si>
  <si>
    <t>E 1 / AGOS - TITO</t>
  </si>
  <si>
    <t>16 PRO / NATURAL #</t>
  </si>
  <si>
    <t>MARIANA YACANTE</t>
  </si>
  <si>
    <t>E 2 / NAHUE (iP 13Pro - 256Gb - 530usd) AirPods</t>
  </si>
  <si>
    <t>NAHUEL ROBLEDO</t>
  </si>
  <si>
    <t>E 2 / Edu</t>
  </si>
  <si>
    <t>16 PRO MAX / BLANCO #</t>
  </si>
  <si>
    <t>MAIDA PRADO</t>
  </si>
  <si>
    <t>E 2 / NAHUE</t>
  </si>
  <si>
    <t>VICTORIA MULET</t>
  </si>
  <si>
    <t>CELINA CORREA</t>
  </si>
  <si>
    <t>E 2 / NAHUE (Promo AirPods)</t>
  </si>
  <si>
    <t>BEATRIZ CASTRO (garantía)</t>
  </si>
  <si>
    <t>E 2 / Se le cambió el equipo por otro igual</t>
  </si>
  <si>
    <t>12 PRO / DORADO</t>
  </si>
  <si>
    <t>ROBERTO BUSTOS</t>
  </si>
  <si>
    <t>GUADALUPE HERRERA</t>
  </si>
  <si>
    <t>E2 / AGOS - TITO (Promo AirPods)</t>
  </si>
  <si>
    <t>11 PRO / DORADO</t>
  </si>
  <si>
    <t>LEIRÉ ALFARO</t>
  </si>
  <si>
    <t>128 / 97%</t>
  </si>
  <si>
    <t>JULIETA MOLINA</t>
  </si>
  <si>
    <t>E 1 / TITO (Ip 13 - 128Gb - 350usd) AirPods</t>
  </si>
  <si>
    <t>BETIANA PAEZ</t>
  </si>
  <si>
    <t>E 2 / NAHUE - TITO (AirPods)</t>
  </si>
  <si>
    <t>16 PRO MAX / NATURAL #</t>
  </si>
  <si>
    <t>256GB</t>
  </si>
  <si>
    <t>FABRICIO ESCUDERO</t>
  </si>
  <si>
    <t>E2 / AGOS (AirPods) (iP 14-128gb-98% - 550usd)</t>
  </si>
  <si>
    <t>14 PRO MAX / GRAFITO</t>
  </si>
  <si>
    <t>JONATHAN CARSON</t>
  </si>
  <si>
    <t xml:space="preserve">E 1 / TITO - NAHUE </t>
  </si>
  <si>
    <t>MAXIMILIANO PICON</t>
  </si>
  <si>
    <t>YANINA OROZCO (gtía.)</t>
  </si>
  <si>
    <t>14 / BLANCO #</t>
  </si>
  <si>
    <t>129 GB</t>
  </si>
  <si>
    <t>MARIA HEREDIA PAEZ</t>
  </si>
  <si>
    <t>LORENA SORIA</t>
  </si>
  <si>
    <t>E 2 / TITO - AGOS</t>
  </si>
  <si>
    <t>12 / NEGRO</t>
  </si>
  <si>
    <t>NORA DEL VALLE HERRERA</t>
  </si>
  <si>
    <t>E 2 / AGOS</t>
  </si>
  <si>
    <t>128 GB</t>
  </si>
  <si>
    <t>URIEL PAEZ</t>
  </si>
  <si>
    <t>E 1 / AGOS</t>
  </si>
  <si>
    <t>NAHUEL PACHECO</t>
  </si>
  <si>
    <t>E1 / FEDE</t>
  </si>
  <si>
    <t>15 PRO / GRAFITO</t>
  </si>
  <si>
    <t>ROMINA NAVARRETE</t>
  </si>
  <si>
    <t>E 2 / TITO - Deja 14 Pro (256 GB - 670 USD)</t>
  </si>
  <si>
    <t>16 PRO / NATURAL</t>
  </si>
  <si>
    <t>MATEO CABALLERO</t>
  </si>
  <si>
    <t>16 / VERDE</t>
  </si>
  <si>
    <t>IGNACIO CABALLERO</t>
  </si>
  <si>
    <t xml:space="preserve">128 / 98% </t>
  </si>
  <si>
    <t>AGUSTINA BASAÑES</t>
  </si>
  <si>
    <t>E 1 / AGOS - deja 11 Pro Max (64GB- 260Usd)</t>
  </si>
  <si>
    <t>11 / AMARILLO</t>
  </si>
  <si>
    <t xml:space="preserve">AILEN QUINTERO </t>
  </si>
  <si>
    <t>128/ 85%</t>
  </si>
  <si>
    <t>AIME CARRASCO</t>
  </si>
  <si>
    <t>E 2 / NAHUE - AGOS Deja iP13. (128GB - 400USD)</t>
  </si>
  <si>
    <t>PAULINA SIRERA</t>
  </si>
  <si>
    <t xml:space="preserve">E 2 / NAHUE  </t>
  </si>
  <si>
    <t>16 PRO / BLANCO</t>
  </si>
  <si>
    <t>MARIA JOSE TORO</t>
  </si>
  <si>
    <t>GUSTAVO GOMEZ</t>
  </si>
  <si>
    <t>11 / ROJO</t>
  </si>
  <si>
    <t xml:space="preserve">LEANDRO CABELLO </t>
  </si>
  <si>
    <t>ANDRES MANINI</t>
  </si>
  <si>
    <t>E 1 / NAHUE - Deja 14 (530usd) y iP. 8 (40usd)</t>
  </si>
  <si>
    <t>128/ 94%</t>
  </si>
  <si>
    <t>ROBERTO TORRES</t>
  </si>
  <si>
    <t>KAREN PAEZ</t>
  </si>
  <si>
    <t>SIMON BENEGA</t>
  </si>
  <si>
    <t>8 / BLANCO</t>
  </si>
  <si>
    <t>256/ 100%</t>
  </si>
  <si>
    <t>MARIA VIRGINIA GARCIA</t>
  </si>
  <si>
    <t>JUANA DUCE</t>
  </si>
  <si>
    <t>E 1 / NAHUE - P.C: 12 mini - 120 USD</t>
  </si>
  <si>
    <t>16 / NEGRO #</t>
  </si>
  <si>
    <t>FRANCISCO GUERRERO</t>
  </si>
  <si>
    <t>E 1 / TITO - NAHUE - P.C: 14 - 500 USD</t>
  </si>
  <si>
    <t>GERMAN TEJADA</t>
  </si>
  <si>
    <t>E 1 / TITO - NAHUE</t>
  </si>
  <si>
    <t>16 PRO / NEGRO #</t>
  </si>
  <si>
    <t>SANTIAGO OLIVARES</t>
  </si>
  <si>
    <t>06/08/25</t>
  </si>
  <si>
    <t>E 2 / AGOS - TITO / P.C. 15 PRO 128 GB - 800 USD</t>
  </si>
  <si>
    <t>15 PRO MAX / NEGRO</t>
  </si>
  <si>
    <t>JORGE DANIEL PALACIOS</t>
  </si>
  <si>
    <t>128 /100%</t>
  </si>
  <si>
    <t>SANTIAGO ESPINOSA</t>
  </si>
  <si>
    <t>CARINA QUIROGA</t>
  </si>
  <si>
    <t>LORENZO PEÑA</t>
  </si>
  <si>
    <t>E 2 / TITO - NAHUE / P.C 11 128 GB - 220 USD</t>
  </si>
  <si>
    <t>GRECIA NARANJO</t>
  </si>
  <si>
    <t>16 PRO MAX / NATURAL</t>
  </si>
  <si>
    <t>HUMBERTO BOTTINO</t>
  </si>
  <si>
    <t>E 2 /TITO / P.C. 12 PRO MAX 128 GB (460 USD)</t>
  </si>
  <si>
    <t>BENITA AGUIL</t>
  </si>
  <si>
    <t>E 2 /TITO / P.C. 13 MINI 128 GB (300 USD) Promo AirPods</t>
  </si>
  <si>
    <t>MARIANA CAÑETE</t>
  </si>
  <si>
    <t>E 1 / NAHUE / P.C 14 256GB (550 USD)</t>
  </si>
  <si>
    <t>16 / NEGRO</t>
  </si>
  <si>
    <t>RODRIGO FERNANDEZ</t>
  </si>
  <si>
    <t>E 1 / NAHUE / P.C 14  (500 USD)</t>
  </si>
  <si>
    <t>LETICIA ROJAS</t>
  </si>
  <si>
    <t>3531158289036731</t>
  </si>
  <si>
    <t>256 / 83 %</t>
  </si>
  <si>
    <t>DARIO YANSON</t>
  </si>
  <si>
    <t>E 1 / FEDE P.C 13 128GB - 350 USD</t>
  </si>
  <si>
    <t>E 2 / GARANTÍA</t>
  </si>
  <si>
    <t>MARCELO VALLE</t>
  </si>
  <si>
    <t>SANTIAGO MAGO</t>
  </si>
  <si>
    <t>26/09/25</t>
  </si>
  <si>
    <t>E 2 / NAHUE - P.C 13 PRO 256GB - 450USD</t>
  </si>
  <si>
    <t>LEONELA RAMIREZ</t>
  </si>
  <si>
    <t>E 2 / CARO/TITO - P.C 13  128gb / 370USD</t>
  </si>
  <si>
    <t>LUCAS ILLANES</t>
  </si>
  <si>
    <t>E 2 / CARO/NAHUE - P.C 13  128gb / 370USD</t>
  </si>
  <si>
    <t>ROSA ESCOBAR</t>
  </si>
  <si>
    <t xml:space="preserve">E 2 / TITO </t>
  </si>
  <si>
    <t>MARIELA DEUSEDAS</t>
  </si>
  <si>
    <t>E 1 / NAHUE (FALTA CARGADOR Y CABLE)</t>
  </si>
  <si>
    <t>VERONICA FERNANDEZ</t>
  </si>
  <si>
    <t>E 2 / TITO - FEDE R.</t>
  </si>
  <si>
    <t>APPLE WATCH / SERIES 10 42MM Jet black al ink sport loop</t>
  </si>
  <si>
    <t>DANIEL RUSO</t>
  </si>
  <si>
    <t>E 1 / TITO P. C 13 128 GB - 320 USD</t>
  </si>
  <si>
    <t>15 PRO MAX / AZUL</t>
  </si>
  <si>
    <t>MELISA AVELLA</t>
  </si>
  <si>
    <t>E 1 / NAHUE P.C 14 PM 128GB - 650USD</t>
  </si>
  <si>
    <t>ARTURO CASTILLO</t>
  </si>
  <si>
    <t>E 1 / NAHUE P.C 14 PM 25GB - 650USD</t>
  </si>
  <si>
    <t>16 PRO / DESERT</t>
  </si>
  <si>
    <t>ROSITA SILVA</t>
  </si>
  <si>
    <t xml:space="preserve">E 1 / NAHUE </t>
  </si>
  <si>
    <t>17 AIR / AZUL</t>
  </si>
  <si>
    <t>AYELEN VERA</t>
  </si>
  <si>
    <t>E 1 / NAHUE P.C 13 128GB - 320USD</t>
  </si>
  <si>
    <t>ALEXANDER PADILLA - 43.488.876</t>
  </si>
  <si>
    <t>E 2 / GANADOR DEL SORTEO - 2646779345</t>
  </si>
  <si>
    <t>BRIAN LARA</t>
  </si>
  <si>
    <t>15 / ROSADO</t>
  </si>
  <si>
    <t>CAROLINA SAAVEDRA</t>
  </si>
  <si>
    <t>LUIS MARTI</t>
  </si>
  <si>
    <t>E 1 / NAHUE P.C 11 128GB - 150USD</t>
  </si>
  <si>
    <t>17 PRO / PLATA</t>
  </si>
  <si>
    <t>AYELEN DOMINGEZ</t>
  </si>
  <si>
    <t>E 2 / TITO P.C 13 128GB - 340 USD</t>
  </si>
  <si>
    <t>FLORENCIA DIAZ</t>
  </si>
  <si>
    <t>LUJAN DIAZ</t>
  </si>
  <si>
    <t>17 / AZUL #</t>
  </si>
  <si>
    <t>GASTÓN MAGARIÑOS</t>
  </si>
  <si>
    <t>E 2 / TITO - FEDE RUARTE</t>
  </si>
  <si>
    <t>FRANCO STORNIOLO</t>
  </si>
  <si>
    <t>E 1 / NAHUE P.C 15 128GB - 350USD</t>
  </si>
  <si>
    <t>MÁXIMO CARRIZO</t>
  </si>
  <si>
    <t>MILAGROS ROJO</t>
  </si>
  <si>
    <t>17/11/25</t>
  </si>
  <si>
    <t>17/03/25</t>
  </si>
  <si>
    <t>MARIELA GELVEZ</t>
  </si>
  <si>
    <t>128 / 91%</t>
  </si>
  <si>
    <t>IVANA FERNANDEZ</t>
  </si>
  <si>
    <t>PRECIOS CLIENTES</t>
  </si>
  <si>
    <t>DIAGNÓSTICO Y LIMPIEZA</t>
  </si>
  <si>
    <t>MÓDULOS</t>
  </si>
  <si>
    <t>BATERÍAS</t>
  </si>
  <si>
    <t>CRISTAL DE CÁMARA</t>
  </si>
  <si>
    <t>TAPA TRASERA</t>
  </si>
  <si>
    <t xml:space="preserve">SISTEMA </t>
  </si>
  <si>
    <t>SPEAKER</t>
  </si>
  <si>
    <t>COPIA DE DATOS</t>
  </si>
  <si>
    <t>Mojados X 2</t>
  </si>
  <si>
    <t>Alter. / Premi.</t>
  </si>
  <si>
    <t>Progr.</t>
  </si>
  <si>
    <t>Alter. / Ori.</t>
  </si>
  <si>
    <t>Prog.</t>
  </si>
  <si>
    <t>TAPA</t>
  </si>
  <si>
    <t>GB</t>
  </si>
  <si>
    <t>SE 2020 (2 GEN)</t>
  </si>
  <si>
    <t>55 / 65</t>
  </si>
  <si>
    <t>T.T</t>
  </si>
  <si>
    <t>60 / 70</t>
  </si>
  <si>
    <t>Core</t>
  </si>
  <si>
    <t>CONSULTAR</t>
  </si>
  <si>
    <t>6G</t>
  </si>
  <si>
    <t>35 / 45</t>
  </si>
  <si>
    <t>25 / 30</t>
  </si>
  <si>
    <t>No</t>
  </si>
  <si>
    <t>6G PLUS</t>
  </si>
  <si>
    <t>30 / 35</t>
  </si>
  <si>
    <t>6S</t>
  </si>
  <si>
    <t>45 / 55</t>
  </si>
  <si>
    <t>40 / 45</t>
  </si>
  <si>
    <t xml:space="preserve">6S PLUS </t>
  </si>
  <si>
    <t>50 / 60</t>
  </si>
  <si>
    <t>50 / 55</t>
  </si>
  <si>
    <t>7G</t>
  </si>
  <si>
    <t>40 / 50</t>
  </si>
  <si>
    <t xml:space="preserve">  </t>
  </si>
  <si>
    <t>7 PLUS</t>
  </si>
  <si>
    <t>8G</t>
  </si>
  <si>
    <t>8PLUS</t>
  </si>
  <si>
    <t xml:space="preserve"> 55 / 65</t>
  </si>
  <si>
    <t>X</t>
  </si>
  <si>
    <t>$9.500</t>
  </si>
  <si>
    <t>70 / 80</t>
  </si>
  <si>
    <t>XS</t>
  </si>
  <si>
    <t>95 / 110</t>
  </si>
  <si>
    <t>XS MAX</t>
  </si>
  <si>
    <t>135 / 160</t>
  </si>
  <si>
    <t>XR</t>
  </si>
  <si>
    <t>65 / 75</t>
  </si>
  <si>
    <t xml:space="preserve">11G </t>
  </si>
  <si>
    <t>85 / 105</t>
  </si>
  <si>
    <t>I.C</t>
  </si>
  <si>
    <t>55 / 60</t>
  </si>
  <si>
    <t>11 PRO</t>
  </si>
  <si>
    <t xml:space="preserve"> 110 /180</t>
  </si>
  <si>
    <t xml:space="preserve">60 / 65 </t>
  </si>
  <si>
    <t>11 PRO MAX</t>
  </si>
  <si>
    <t>140 / 200</t>
  </si>
  <si>
    <t>12 MINI</t>
  </si>
  <si>
    <t>180 / 310</t>
  </si>
  <si>
    <t>Ori</t>
  </si>
  <si>
    <t>USD 85</t>
  </si>
  <si>
    <t>12G</t>
  </si>
  <si>
    <t>170 / 220</t>
  </si>
  <si>
    <t xml:space="preserve"> 55 / 60</t>
  </si>
  <si>
    <t>12 PRO</t>
  </si>
  <si>
    <t>180 / 230</t>
  </si>
  <si>
    <t>12 PRO MAX</t>
  </si>
  <si>
    <t>250 / 350</t>
  </si>
  <si>
    <t xml:space="preserve"> 65 / 70</t>
  </si>
  <si>
    <t>13 MINI</t>
  </si>
  <si>
    <t>200 / 260</t>
  </si>
  <si>
    <t>65 / 130</t>
  </si>
  <si>
    <t>13G</t>
  </si>
  <si>
    <t>13 PRO</t>
  </si>
  <si>
    <t>270 / 350</t>
  </si>
  <si>
    <t>75 / 150</t>
  </si>
  <si>
    <t>13 PRO MAX</t>
  </si>
  <si>
    <t>280 / 380</t>
  </si>
  <si>
    <t>80 / 160</t>
  </si>
  <si>
    <t>14 PLUS</t>
  </si>
  <si>
    <t>300 / 400</t>
  </si>
  <si>
    <t>14 PRO</t>
  </si>
  <si>
    <t>85 / 170</t>
  </si>
  <si>
    <t>14 PRO MAX</t>
  </si>
  <si>
    <t>350 / 450</t>
  </si>
  <si>
    <t xml:space="preserve">90 / 180 </t>
  </si>
  <si>
    <t>320 / 400</t>
  </si>
  <si>
    <t>15 PRO</t>
  </si>
  <si>
    <t>390 / 450</t>
  </si>
  <si>
    <t>15 PLUS</t>
  </si>
  <si>
    <t>15 PRO MAX</t>
  </si>
  <si>
    <t xml:space="preserve">440 / 490 </t>
  </si>
  <si>
    <t>16 PRO</t>
  </si>
  <si>
    <t>16 PLUS</t>
  </si>
  <si>
    <t>16 PRO MAX</t>
  </si>
  <si>
    <t>Modelo</t>
  </si>
  <si>
    <t xml:space="preserve">Minimo </t>
  </si>
  <si>
    <t>Máximo</t>
  </si>
  <si>
    <t>¿Cómo tazar un equipo?</t>
  </si>
  <si>
    <t>64</t>
  </si>
  <si>
    <t>1- La estética es lo más importante. Revisar los bordes del chasis que no estén marcados y verificar la tapa.</t>
  </si>
  <si>
    <t>128 / 256</t>
  </si>
  <si>
    <t>2- Controlar que los botones funcionen correctamente.</t>
  </si>
  <si>
    <t xml:space="preserve">11 Pro </t>
  </si>
  <si>
    <t>3- Que no tenga rayones muy notorios en el módulo.</t>
  </si>
  <si>
    <t>256</t>
  </si>
  <si>
    <t>4- Que no tenga cartél de "pieza desconocida" (batería, cámara o true tone).</t>
  </si>
  <si>
    <t>11 Pro Max</t>
  </si>
  <si>
    <t>5- Controlar las cámaras en un fondo blanco.</t>
  </si>
  <si>
    <t>6- Controlar speakers que funcionen correctamente (sin saturarse).</t>
  </si>
  <si>
    <t xml:space="preserve">12 mini </t>
  </si>
  <si>
    <t>7- iCloud del titular</t>
  </si>
  <si>
    <t>128</t>
  </si>
  <si>
    <t>8- Capacidad del equipo (GB)</t>
  </si>
  <si>
    <t xml:space="preserve">El precio se negocia según el estado del equipo y los parámetros establecidos. No se puede pagar más del máximo,pero si se puede pagar menos del mínimo por si ven algun detalle notorio. </t>
  </si>
  <si>
    <t>ANTE CUALQUIER DUDA, CONSULTAR.</t>
  </si>
  <si>
    <t xml:space="preserve">12 Pro </t>
  </si>
  <si>
    <t>SI TIENE MÓDULO ROTO DE 50 A 300 USD MÁXIMO!!</t>
  </si>
  <si>
    <t>12 Pro Max</t>
  </si>
  <si>
    <t>13 mini</t>
  </si>
  <si>
    <t>13 Pro</t>
  </si>
  <si>
    <t>13 Pro Max</t>
  </si>
  <si>
    <t>14 Plus</t>
  </si>
  <si>
    <t>14 Pro</t>
  </si>
  <si>
    <t>14 Pro Max</t>
  </si>
  <si>
    <t>15 Plus</t>
  </si>
  <si>
    <t xml:space="preserve">15 Pro </t>
  </si>
  <si>
    <t>15 Pro Max</t>
  </si>
  <si>
    <t>512</t>
  </si>
  <si>
    <t>16 E</t>
  </si>
  <si>
    <t>16 Plus</t>
  </si>
  <si>
    <t xml:space="preserve">16 Pro </t>
  </si>
  <si>
    <t>16 Pro Max</t>
  </si>
  <si>
    <t>LISTA DE COLEGAS - DOLAR BLUE</t>
  </si>
  <si>
    <t>DIAGNÓSTICO / LIMPIEZA</t>
  </si>
  <si>
    <t>BATERÍA</t>
  </si>
  <si>
    <t>CRISTAL CÁMARA</t>
  </si>
  <si>
    <t>F.C. / AMP.</t>
  </si>
  <si>
    <t>Alter. / Prem.</t>
  </si>
  <si>
    <t>45 / 50</t>
  </si>
  <si>
    <t>24 / 27</t>
  </si>
  <si>
    <t>27 / 30</t>
  </si>
  <si>
    <t>20 / 25</t>
  </si>
  <si>
    <t>29 / 32</t>
  </si>
  <si>
    <t>8 PLUS</t>
  </si>
  <si>
    <t>35 / 40</t>
  </si>
  <si>
    <t>80 / 100</t>
  </si>
  <si>
    <t>110 / 155</t>
  </si>
  <si>
    <t>11G</t>
  </si>
  <si>
    <t>70 / 85</t>
  </si>
  <si>
    <t>90 / 160</t>
  </si>
  <si>
    <t>115 / 180</t>
  </si>
  <si>
    <t>170 / 180</t>
  </si>
  <si>
    <t>175 / 185</t>
  </si>
  <si>
    <t xml:space="preserve">55 / 60 </t>
  </si>
  <si>
    <t>230 / 240</t>
  </si>
  <si>
    <t>50 / 90 ori</t>
  </si>
  <si>
    <t>50 / 90 Ori</t>
  </si>
  <si>
    <t>250 / 280</t>
  </si>
  <si>
    <t>60 / 95Ori</t>
  </si>
  <si>
    <t>65 / 100 Ori</t>
  </si>
  <si>
    <t>55 / 105 Ori</t>
  </si>
  <si>
    <t>60 / 105 Ori</t>
  </si>
  <si>
    <t>65 / 105 Ori</t>
  </si>
  <si>
    <t>70 / 105 Ori</t>
  </si>
  <si>
    <t xml:space="preserve"> 110 Ori</t>
  </si>
  <si>
    <t xml:space="preserve"> 115 Ori</t>
  </si>
  <si>
    <t>110 Ori</t>
  </si>
  <si>
    <t>120 Ori</t>
  </si>
  <si>
    <t>125 Ori</t>
  </si>
  <si>
    <t>130 Ori</t>
  </si>
  <si>
    <t>POR OTRO TIPO DE REPARACIONES PEDIR PRESUPUESTO PARA COLEGAS (PLACA, SPEAKER, CÁMARAS, FACE ID, ETC.)</t>
  </si>
  <si>
    <t xml:space="preserve">BBVA </t>
  </si>
  <si>
    <t>PORCENTAJE</t>
  </si>
  <si>
    <t>RECARGO</t>
  </si>
  <si>
    <t>TOTAL</t>
  </si>
  <si>
    <t>CADA CUOTA</t>
  </si>
  <si>
    <t>TARJETAS QUE RECIBE OPENPAY</t>
  </si>
  <si>
    <t xml:space="preserve">1 CUOTA </t>
  </si>
  <si>
    <t>1) BBVA (PROMO SIN INTERÉS)</t>
  </si>
  <si>
    <t>2) LINK DE PAGO</t>
  </si>
  <si>
    <t>3 CUOTAS SIMPLE</t>
  </si>
  <si>
    <t>3) MODO (BILLETERA VIRTUAL)</t>
  </si>
  <si>
    <t>4) CUOTA SIMPLE (3 Y 6 CUOTAS)</t>
  </si>
  <si>
    <t>6 CUOTAS SIMPLE</t>
  </si>
  <si>
    <t>Sólo se reciben estas tarjetas con este posnet, sean Visa, Master o American Express</t>
  </si>
  <si>
    <t>9 CUOTAS</t>
  </si>
  <si>
    <t>12 CUOTAS</t>
  </si>
  <si>
    <t>SANTANDER</t>
  </si>
  <si>
    <t>TARJETAS QUE RECIBE GETNET</t>
  </si>
  <si>
    <t>1 CUOTA</t>
  </si>
  <si>
    <t>1) SANTANDER (PROMO SIN INTERÉS)</t>
  </si>
  <si>
    <t>2) CUOTA SIMPLE (3 Y 6 CUOTAS)</t>
  </si>
  <si>
    <t>4) LINK DE PAGO</t>
  </si>
  <si>
    <t>5) NARANJA X</t>
  </si>
  <si>
    <t>TODAS las tarjetas se pasan por este posnet, sean Visa, Master o American Express (excepto BBVA)</t>
  </si>
  <si>
    <t>NARANJA X</t>
  </si>
  <si>
    <t>TARJETAS NO BANCARIZADAS</t>
  </si>
  <si>
    <t>1) NARANJA X</t>
  </si>
  <si>
    <t>3 CUOTAS</t>
  </si>
  <si>
    <t>6 CUOTAS</t>
  </si>
  <si>
    <t>Por el momento solo recibimos Naranja X. Si tenemos dudas del interés se simula el precio acá</t>
  </si>
  <si>
    <t xml:space="preserve">   </t>
  </si>
  <si>
    <t>CALCULADORA</t>
  </si>
  <si>
    <t>VALOR EQUIPO USD</t>
  </si>
  <si>
    <t xml:space="preserve">ENTREGA USD </t>
  </si>
  <si>
    <t xml:space="preserve">COTIZACIÓN </t>
  </si>
  <si>
    <t>SALDO $</t>
  </si>
  <si>
    <t>EFEC./TRANS.</t>
  </si>
  <si>
    <t>TARJ. CREDITO</t>
  </si>
  <si>
    <t>BALANCE</t>
  </si>
  <si>
    <t>Calculadora Estilo 1</t>
  </si>
  <si>
    <t xml:space="preserve">Calculadora Estilo 2 </t>
  </si>
  <si>
    <t>La idea es la siguiente: Evitar el uso de calculadoras externas, dismunuyendo el margen de error en el traspaso de cuentas. A su vez, poder diferenciar de manera clara pero sencilla el pago en dólares, con el resto de los medios de pagos como; efectivo o transferencia, tarjeta de crédito, etc. Se carga el valor total del equipo en dólares, el valor en dólares que se recibe (en caso que entregue), esto también sirve para el plan canje, ya que se cotizan los equipo en dólares. Luego cargar la cotización del dólar del momento, y la calculadora nos arrojará de manera automática el saldo a abonar en $, el siguiente paso es cargar los montos en $ que entrega a través de los diferentes medios de pagos. La columna de balance funciona de manera automática, y nos debe quedar en "0".</t>
  </si>
  <si>
    <t>SELLADOS A PEDIDO</t>
  </si>
  <si>
    <t>128GB</t>
  </si>
  <si>
    <t>512GB</t>
  </si>
  <si>
    <t>1T</t>
  </si>
  <si>
    <r>
      <rPr>
        <rFont val="Arial"/>
        <b/>
        <color theme="1"/>
      </rPr>
      <t>PARA TENER EN CUENA!</t>
    </r>
    <r>
      <rPr>
        <rFont val="Arial"/>
        <color theme="1"/>
      </rPr>
      <t xml:space="preserve"> Se seña abonando la mitad del equipo con cualquier medio de pago. Tiene demora de 10 días hábiles.</t>
    </r>
  </si>
  <si>
    <t>IP 13</t>
  </si>
  <si>
    <t>IP 14</t>
  </si>
  <si>
    <t>---</t>
  </si>
  <si>
    <t>IP 15</t>
  </si>
  <si>
    <t>IP 16</t>
  </si>
  <si>
    <t>ATENCIÓN!</t>
  </si>
  <si>
    <t xml:space="preserve">IP 16 PLUS </t>
  </si>
  <si>
    <t>Se seña con el 50% del valor del equipo</t>
  </si>
  <si>
    <t>IP 16 PRO</t>
  </si>
  <si>
    <t>Este es el precio de contado!</t>
  </si>
  <si>
    <t>IP 16 PRO MAX</t>
  </si>
  <si>
    <t>IP 17</t>
  </si>
  <si>
    <t>IP 17 AIR</t>
  </si>
  <si>
    <t>IP 17 PRO</t>
  </si>
  <si>
    <t>IP 17 PRO MAX</t>
  </si>
  <si>
    <t>REPUESTOS DISPONIBLES</t>
  </si>
  <si>
    <t>PRODUCTOS</t>
  </si>
  <si>
    <t>DISP.</t>
  </si>
  <si>
    <t>iPhone 6s (blanca)</t>
  </si>
  <si>
    <t xml:space="preserve">iPhone 6s </t>
  </si>
  <si>
    <t>iPhone 7 (negra)</t>
  </si>
  <si>
    <t>iPhone 7</t>
  </si>
  <si>
    <t>iPhone 7 Plus</t>
  </si>
  <si>
    <t xml:space="preserve">iPhone 8 Plus </t>
  </si>
  <si>
    <t>iPhone 8 (original) (blanca)</t>
  </si>
  <si>
    <t xml:space="preserve">iPhone 8 </t>
  </si>
  <si>
    <t>iPhone XS Max (original)</t>
  </si>
  <si>
    <t xml:space="preserve">iPhone XS Max </t>
  </si>
  <si>
    <t>iPhone XR</t>
  </si>
  <si>
    <t>iPhone 11 (Wuzip Black)</t>
  </si>
  <si>
    <t xml:space="preserve">XR </t>
  </si>
  <si>
    <t>iPhone 11</t>
  </si>
  <si>
    <t>iPhone 11 Pro Mx</t>
  </si>
  <si>
    <t xml:space="preserve">iPhone 11 Pro </t>
  </si>
  <si>
    <t xml:space="preserve">iPhone 12 / 12 Pro </t>
  </si>
  <si>
    <t xml:space="preserve">iPhone 11 Pro Max </t>
  </si>
  <si>
    <t>iPhone 12 Pro Max (original)</t>
  </si>
  <si>
    <t xml:space="preserve">iPhone 13 </t>
  </si>
  <si>
    <t>iPhone 14 Pro</t>
  </si>
  <si>
    <t xml:space="preserve">iPhone 14 Pro Max </t>
  </si>
  <si>
    <t>CRISTAL PARA CÁMARA</t>
  </si>
  <si>
    <t>iPhone 7 / 8 / SE</t>
  </si>
  <si>
    <t>iPhone 7 Plus / 8 Plus</t>
  </si>
  <si>
    <t>iPhone X</t>
  </si>
  <si>
    <t>iPhone XS Max</t>
  </si>
  <si>
    <t xml:space="preserve">iPhone 11 </t>
  </si>
  <si>
    <t>iPhone 11 Pro / 11 Pro Max</t>
  </si>
  <si>
    <t>iPhone 12 / 12 mini</t>
  </si>
  <si>
    <t>iPhone 12 Pro / 12 Pro Max</t>
  </si>
  <si>
    <t>iPhone 13 / 13 mini</t>
  </si>
  <si>
    <t>iPhone 13 Pro / Pro Max</t>
  </si>
  <si>
    <t>iPhone 14 / 14 Plus / 15 / 15 Plus</t>
  </si>
  <si>
    <t xml:space="preserve">14 Pro y pro max </t>
  </si>
  <si>
    <t xml:space="preserve">15 Pro / 15 Pro Max </t>
  </si>
  <si>
    <t>HYDRA</t>
  </si>
  <si>
    <t>Ic hydra</t>
  </si>
  <si>
    <t>FLEX FRONTAL  PROXIMIDAD</t>
  </si>
  <si>
    <t>Frontal Xr</t>
  </si>
  <si>
    <t>Frontal Xs</t>
  </si>
  <si>
    <t xml:space="preserve">Frontal Xs Max </t>
  </si>
  <si>
    <t>Frontal 11</t>
  </si>
  <si>
    <t>Frontal 11 Pro Max</t>
  </si>
  <si>
    <t>Frontal 12 / 12 Pro</t>
  </si>
  <si>
    <t>Frontal 12 Pro Max (original)</t>
  </si>
  <si>
    <t>Frontal 12 Pro Max</t>
  </si>
  <si>
    <t xml:space="preserve">Frontal 13 </t>
  </si>
  <si>
    <t>Frontal 13 Pro Max</t>
  </si>
  <si>
    <t>Frontal Yoguis Xs Max</t>
  </si>
  <si>
    <t>Frontal 14 Pro</t>
  </si>
  <si>
    <t>Frontal 14 Pro Max</t>
  </si>
  <si>
    <t xml:space="preserve">Frontal 14 Pro </t>
  </si>
  <si>
    <t>TAPAS</t>
  </si>
  <si>
    <t>iPhone 8 (dorado)</t>
  </si>
  <si>
    <t>iPhone 8 (negro)</t>
  </si>
  <si>
    <t>iPhone 8 (blanco)</t>
  </si>
  <si>
    <t>iPhone 8 Plus (negro)</t>
  </si>
  <si>
    <t>iPhone 8 Plus (blanco)</t>
  </si>
  <si>
    <t>iPhone 8 Plus (dorado)</t>
  </si>
  <si>
    <t>iPhone X / XS (negro)</t>
  </si>
  <si>
    <t>iPhone X / XS (blanco)</t>
  </si>
  <si>
    <t>iPhone X / XS (dorado)</t>
  </si>
  <si>
    <t>iPhone XR (negro)</t>
  </si>
  <si>
    <t>iPhone XR (blanco)</t>
  </si>
  <si>
    <t>iPhone XR (rojo)</t>
  </si>
  <si>
    <t>iPhone XS Max (blanco)</t>
  </si>
  <si>
    <t>iPhone XS Max (gold)</t>
  </si>
  <si>
    <t>iPhone XS Max (Negro)</t>
  </si>
  <si>
    <t>iPhone 11 (verde)</t>
  </si>
  <si>
    <t>iPhone 11 (amarillo )</t>
  </si>
  <si>
    <t>iPhone 11 (amarillo)</t>
  </si>
  <si>
    <t>iPhone 11 (blanco)</t>
  </si>
  <si>
    <t>iPhone 11 (negro)</t>
  </si>
  <si>
    <t>iPhone 11 (lila)</t>
  </si>
  <si>
    <t>iPhone 11 pro (grafito)</t>
  </si>
  <si>
    <t>iPhone 11 pro (blanco)</t>
  </si>
  <si>
    <t>iPhone 11 pro (verde)</t>
  </si>
  <si>
    <t>iPhone 11 pro (gold)</t>
  </si>
  <si>
    <t>iPhone 11 pro Max (grafito)</t>
  </si>
  <si>
    <t>iPhone 11 pro Max (blanco)</t>
  </si>
  <si>
    <t>iPhone 11 pro Max (gold)</t>
  </si>
  <si>
    <t>iPhone 11 pro Max (dorado)</t>
  </si>
  <si>
    <t>iPhone 11 pro Max (verde)</t>
  </si>
  <si>
    <t>iPhone 12 mini (AZUL)</t>
  </si>
  <si>
    <t>iPhone 12 mini (azul)</t>
  </si>
  <si>
    <t xml:space="preserve">iPhone 12 Mini (blanco) </t>
  </si>
  <si>
    <t>iPhone 12 mini negro)</t>
  </si>
  <si>
    <t>iPhone 12 mini (negro)</t>
  </si>
  <si>
    <t>iPhone 12 (negro)</t>
  </si>
  <si>
    <t>iPhone 12 (blanco)</t>
  </si>
  <si>
    <t>iPhone 12 (blue)</t>
  </si>
  <si>
    <t>iPhone 12 (green)</t>
  </si>
  <si>
    <t>iPhone 12 (verde)</t>
  </si>
  <si>
    <t>iPhone 12 pro (blanco)</t>
  </si>
  <si>
    <t>iPhone 12 pro (grafito)</t>
  </si>
  <si>
    <t>iPhone 12 pro (gold)</t>
  </si>
  <si>
    <t>iPhone 12 pro (dorado)</t>
  </si>
  <si>
    <t>iPhone 12 pro (azul)</t>
  </si>
  <si>
    <t>iPhone 12 pro Max (oro)</t>
  </si>
  <si>
    <t>iPhone 12 pro Max (dorado)</t>
  </si>
  <si>
    <t>iPhone 12 pro Max (blanco)</t>
  </si>
  <si>
    <t>iPhone 12 pro Max (grafito)</t>
  </si>
  <si>
    <t>iPhone 12 pro Max (azul pacífico)</t>
  </si>
  <si>
    <t>13 mini (negro)</t>
  </si>
  <si>
    <t>iPhone 13 mini (negro)</t>
  </si>
  <si>
    <t xml:space="preserve">13 mini (Rosa) </t>
  </si>
  <si>
    <t xml:space="preserve">iPhone 13 mini (Rosa) </t>
  </si>
  <si>
    <t>iPhone 13 (negro)</t>
  </si>
  <si>
    <t>iPhone 13 (blanco)</t>
  </si>
  <si>
    <t>iPhone 13 (blue)</t>
  </si>
  <si>
    <t>iPhone 13 (pink)</t>
  </si>
  <si>
    <t>iPhone 13 (rosa)</t>
  </si>
  <si>
    <t>iPhone 13 pro (blanco)</t>
  </si>
  <si>
    <t>iPhone 13 pro (grafito)</t>
  </si>
  <si>
    <t>iPhone 13 pro (celeste)</t>
  </si>
  <si>
    <t>iPhone 13 pro (dorado)</t>
  </si>
  <si>
    <t>iPhone 13 pro Max (grafito)</t>
  </si>
  <si>
    <t>iPhone 13 pro Max (celeste)</t>
  </si>
  <si>
    <t>iPhone 13 pro Max (green midnigth)</t>
  </si>
  <si>
    <t>iPhone 13 pro Max (verde)</t>
  </si>
  <si>
    <t>iPhone 13 pro Max (blanca- silver)</t>
  </si>
  <si>
    <t>iPhone 13 pro Max (blanco)</t>
  </si>
  <si>
    <t>iPhone 13 pro Max (gold)</t>
  </si>
  <si>
    <t>iPhone 13 pro Max (dorado)</t>
  </si>
  <si>
    <t>iPhone 14 (blanco)</t>
  </si>
  <si>
    <t>iPhone 14 (celeste)</t>
  </si>
  <si>
    <t>iPhone 14 (negro)</t>
  </si>
  <si>
    <t>iPhone 14 (lila)</t>
  </si>
  <si>
    <t>iPhone 14 pro (blanco)</t>
  </si>
  <si>
    <t>iPhone 14 Pro (grafito)</t>
  </si>
  <si>
    <t>iPhone 14 pro (purple)</t>
  </si>
  <si>
    <t>iPhone 14 pro (púrpura)</t>
  </si>
  <si>
    <t>iPhone 14 pro (dorado)</t>
  </si>
  <si>
    <t>iPhone 14 pro Max (negro)</t>
  </si>
  <si>
    <t>iPhone 14 pro Max (gold)</t>
  </si>
  <si>
    <t>iPhone 14 pro Max (dorado)</t>
  </si>
  <si>
    <t>iPhone 14 pro Max (silver - blanco)</t>
  </si>
  <si>
    <t>iPhone 14 pro Max (blanco)</t>
  </si>
  <si>
    <t>iPhone 14 pro Max (purple)</t>
  </si>
  <si>
    <t>iPhone 14 pro Max (púrpura)</t>
  </si>
  <si>
    <t xml:space="preserve">iPhone 15 (Verde) </t>
  </si>
  <si>
    <t xml:space="preserve">iPhone 15 (Rosa) </t>
  </si>
  <si>
    <t xml:space="preserve">iPhone 15 (Negro) </t>
  </si>
  <si>
    <t>BATERÍA AMPSENTRIX</t>
  </si>
  <si>
    <t>iPhone 7 (con flex)</t>
  </si>
  <si>
    <t>BATERÍA FOX CONN</t>
  </si>
  <si>
    <t>iPhone 7 Plus (con flex)</t>
  </si>
  <si>
    <t>iPhone 8 (con flex)</t>
  </si>
  <si>
    <t>iPhone 8 Plus (con flex)</t>
  </si>
  <si>
    <t>iPhone X (con flex)</t>
  </si>
  <si>
    <t>iPhone XS (con flex)</t>
  </si>
  <si>
    <t>iPhone XS</t>
  </si>
  <si>
    <t xml:space="preserve">iPhone XS	</t>
  </si>
  <si>
    <t>iPhone Xs Max</t>
  </si>
  <si>
    <t>iPhone Xr (core)</t>
  </si>
  <si>
    <t>iPhone 11 (core)</t>
  </si>
  <si>
    <t>iPhone 11 Pro (core)</t>
  </si>
  <si>
    <t>iPhone 11 Pro</t>
  </si>
  <si>
    <t>iPhone 11 Pro Max</t>
  </si>
  <si>
    <t>iPhone 12 / 12 Pro (core)</t>
  </si>
  <si>
    <t>iPhone 12 / 12 Pro</t>
  </si>
  <si>
    <t xml:space="preserve">iPhone 12 Mini </t>
  </si>
  <si>
    <t>iPhone 12 mini</t>
  </si>
  <si>
    <t xml:space="preserve">iPhone 12 Pro Max </t>
  </si>
  <si>
    <t>iPhone 12 Pro Max</t>
  </si>
  <si>
    <t>iPhone 12 Pro Max (core)</t>
  </si>
  <si>
    <t>iPhone 13</t>
  </si>
  <si>
    <t xml:space="preserve">iPhone 13 Mini </t>
  </si>
  <si>
    <t>iPhone 13 mini</t>
  </si>
  <si>
    <t xml:space="preserve">iPhone 13 Pro </t>
  </si>
  <si>
    <t>iPhone 13 Pro</t>
  </si>
  <si>
    <t xml:space="preserve">iPhone 13 Pro Max  </t>
  </si>
  <si>
    <t>iPhone 13 Pro Max</t>
  </si>
  <si>
    <t xml:space="preserve">iPhone 14 </t>
  </si>
  <si>
    <t>iPhone 14</t>
  </si>
  <si>
    <t xml:space="preserve">iPhone 14 Plus </t>
  </si>
  <si>
    <t xml:space="preserve">iphone 14 Plus </t>
  </si>
  <si>
    <t>iPhone 14 Pro (core)</t>
  </si>
  <si>
    <t xml:space="preserve">iPhone 14 Pro </t>
  </si>
  <si>
    <t>iPhone 14 pro Max (core)</t>
  </si>
  <si>
    <t>iPhone 14 Pro Max</t>
  </si>
  <si>
    <t>FLEX FACE ID</t>
  </si>
  <si>
    <t>BAT. JC</t>
  </si>
  <si>
    <t>iPhone XS / XR / Xs Max</t>
  </si>
  <si>
    <t>iPhone X / XR / Xs Max</t>
  </si>
  <si>
    <t>iPhone 11 Pro / Pro Max</t>
  </si>
  <si>
    <t>iPhone 6 (inferior)</t>
  </si>
  <si>
    <t>iPhone 8 (frontal)</t>
  </si>
  <si>
    <t>iPhone 8 Plus (inferior)</t>
  </si>
  <si>
    <t>iPhone X (inferior)</t>
  </si>
  <si>
    <t>iPhone XS MAX</t>
  </si>
  <si>
    <t>iPHONE 11</t>
  </si>
  <si>
    <t>iPhone 11 Pro Max (ambos)</t>
  </si>
  <si>
    <t>iPhone 14 Pro (ambos)</t>
  </si>
  <si>
    <t>iPhone 14 Pro Max (ambos)</t>
  </si>
  <si>
    <t>CÁMARA PRINCIPAL (trasera)</t>
  </si>
  <si>
    <t>CÁMARA PRINCIPAL</t>
  </si>
  <si>
    <t xml:space="preserve">iPhone XS </t>
  </si>
  <si>
    <t>CÁMARA FRONTAL</t>
  </si>
  <si>
    <t>Xs</t>
  </si>
  <si>
    <t>Xr</t>
  </si>
  <si>
    <t xml:space="preserve">iPhone 12 </t>
  </si>
  <si>
    <t xml:space="preserve">                              </t>
  </si>
  <si>
    <t>FLEX BATERÍA JC</t>
  </si>
  <si>
    <t>iPhone 12 / 12 Mini / 12 Pro</t>
  </si>
  <si>
    <t>iPhone 13 / 13 Mini</t>
  </si>
  <si>
    <t>iPhone 13 Pro / 13 Pro Max</t>
  </si>
  <si>
    <t>iPhone 14 / 14 Plus</t>
  </si>
  <si>
    <t>iPhone 14 Pro / 14 Pro Max</t>
  </si>
  <si>
    <t>TAG - ON CAMARA JC</t>
  </si>
  <si>
    <t>FLEX CARGA</t>
  </si>
  <si>
    <t xml:space="preserve">iPhone 6 </t>
  </si>
  <si>
    <t>iPhone 8</t>
  </si>
  <si>
    <t xml:space="preserve">iPhone 8 PLus </t>
  </si>
  <si>
    <t>IPhone 13 Pro</t>
  </si>
  <si>
    <t>CHÁSIS</t>
  </si>
  <si>
    <t>tapa rota</t>
  </si>
  <si>
    <t>amrillo/negro (tapa rota)</t>
  </si>
  <si>
    <t>iPhone 12</t>
  </si>
  <si>
    <t>iPhone 12 Pro</t>
  </si>
  <si>
    <t>BATERÍA ORIGINAL</t>
  </si>
  <si>
    <t>(pieza usada)</t>
  </si>
  <si>
    <t>iPhone 14 Pro (usado)</t>
  </si>
  <si>
    <t>iPhone 14 Pro Max (usado)</t>
  </si>
  <si>
    <t>VIBRADOR</t>
  </si>
  <si>
    <t>iPhone 15 Pro</t>
  </si>
  <si>
    <t>BLINDAJE</t>
  </si>
  <si>
    <t>iPhone 13 (cámara)</t>
  </si>
  <si>
    <t>PORTA SIM</t>
  </si>
  <si>
    <t>BOTONERA</t>
  </si>
  <si>
    <t>iPhone  6</t>
  </si>
  <si>
    <t>power y volumen</t>
  </si>
  <si>
    <t>iPhone  7</t>
  </si>
  <si>
    <t>iPhone  8</t>
  </si>
  <si>
    <t xml:space="preserve">iPhone </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</si>
</sst>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USD ]#,##0"/>
    <numFmt numFmtId="165" formatCode="[$$]#,##0"/>
    <numFmt numFmtId="166" formatCode="dd/mm"/>
    <numFmt numFmtId="167" formatCode="d/m/yy"/>
    <numFmt numFmtId="168" formatCode="dd/mm/yy"/>
    <numFmt numFmtId="169" formatCode="d&quot;/&quot;mm&quot;/&quot;yy"/>
    <numFmt numFmtId="170" formatCode="dd&quot;/&quot;mm&quot;/&quot;yy"/>
    <numFmt numFmtId="171" formatCode="d/m"/>
    <numFmt numFmtId="172" formatCode="&quot;$&quot;#"/>
    <numFmt numFmtId="173" formatCode="[$ $]#,##0"/>
    <numFmt numFmtId="174" formatCode="&quot;$&quot;#,##0"/>
    <numFmt numFmtId="175" formatCode="[$ $]#,##0.00"/>
  </numFmts>
  <fonts count="88">
    <font>
      <sz val="10.0"/>
      <color rgb="FF000000"/>
      <name val="Arial"/>
      <scheme val="minor"/>
    </font>
    <font>
      <b/>
      <sz val="11.0"/>
      <color rgb="FFD9D9D9"/>
      <name val="Calibri"/>
    </font>
    <font>
      <b/>
      <sz val="14.0"/>
      <color rgb="FFD9D9D9"/>
      <name val="Calibri"/>
    </font>
    <font>
      <b/>
      <sz val="13.0"/>
      <color rgb="FFD9D9D9"/>
      <name val="Calibri"/>
    </font>
    <font>
      <sz val="14.0"/>
      <color theme="1"/>
      <name val="Calibri"/>
    </font>
    <font>
      <b/>
      <sz val="12.0"/>
      <color rgb="FF000000"/>
      <name val="Arial"/>
      <scheme val="minor"/>
    </font>
    <font>
      <b/>
      <sz val="12.0"/>
      <color theme="1"/>
      <name val="Arial"/>
    </font>
    <font/>
    <font>
      <b/>
      <sz val="11.0"/>
      <color rgb="FF000000"/>
      <name val="Arial"/>
      <scheme val="minor"/>
    </font>
    <font>
      <sz val="11.0"/>
      <color rgb="FF000000"/>
      <name val="Arial"/>
      <scheme val="minor"/>
    </font>
    <font>
      <b/>
      <sz val="11.0"/>
      <color theme="1"/>
      <name val="Arial"/>
    </font>
    <font>
      <b/>
      <color theme="1"/>
      <name val="Arial"/>
    </font>
    <font>
      <color theme="1"/>
      <name val="Arial"/>
    </font>
    <font>
      <color theme="1"/>
      <name val="Arial"/>
      <scheme val="minor"/>
    </font>
    <font>
      <b/>
      <sz val="10.0"/>
      <color theme="1"/>
      <name val="Arial"/>
    </font>
    <font>
      <sz val="10.0"/>
      <color rgb="FFFFFFFF"/>
      <name val="Arial"/>
    </font>
    <font>
      <sz val="10.0"/>
      <color theme="1"/>
      <name val="Arial"/>
    </font>
    <font>
      <sz val="10.0"/>
      <color rgb="FF000000"/>
      <name val="Arial"/>
    </font>
    <font>
      <b/>
      <sz val="10.0"/>
      <color rgb="FF000000"/>
      <name val="Arial"/>
    </font>
    <font>
      <color rgb="FF000000"/>
      <name val="Arial"/>
    </font>
    <font>
      <color rgb="FFFFFFFF"/>
      <name val="Arial"/>
    </font>
    <font>
      <b/>
      <sz val="12.0"/>
      <color rgb="FF000000"/>
      <name val="Arial"/>
    </font>
    <font>
      <color rgb="FFFFFFFF"/>
      <name val="Arial"/>
      <scheme val="minor"/>
    </font>
    <font>
      <b/>
      <sz val="11.0"/>
      <color rgb="FF000000"/>
      <name val="Calibri"/>
    </font>
    <font>
      <b/>
      <sz val="12.0"/>
      <color rgb="FFF3F3F3"/>
      <name val="Calibri"/>
    </font>
    <font>
      <b/>
      <sz val="12.0"/>
      <color rgb="FFD9D9D9"/>
      <name val="Calibri"/>
    </font>
    <font>
      <sz val="10.0"/>
      <color theme="1"/>
      <name val="Arial"/>
      <scheme val="minor"/>
    </font>
    <font>
      <sz val="11.0"/>
      <color theme="1"/>
      <name val="Arial"/>
    </font>
    <font>
      <b/>
      <sz val="11.0"/>
      <color rgb="FF000000"/>
      <name val="Arial"/>
    </font>
    <font>
      <b/>
      <sz val="11.0"/>
      <color rgb="FFFF0000"/>
      <name val="Arial"/>
    </font>
    <font>
      <b/>
      <strike/>
      <sz val="11.0"/>
      <color theme="1"/>
      <name val="Arial"/>
    </font>
    <font>
      <b/>
      <sz val="12.0"/>
      <color rgb="FFD9D9D9"/>
      <name val="Arial"/>
    </font>
    <font>
      <b/>
      <i/>
      <sz val="12.0"/>
      <color rgb="FF000000"/>
      <name val="Calibri"/>
    </font>
    <font>
      <color theme="0"/>
      <name val="Arial"/>
    </font>
    <font>
      <b/>
      <i/>
      <sz val="12.0"/>
      <color theme="1"/>
      <name val="Calibri"/>
    </font>
    <font>
      <color rgb="FFF3F3F3"/>
      <name val="Arial"/>
    </font>
    <font>
      <b/>
      <color theme="1"/>
      <name val="Arial"/>
      <scheme val="minor"/>
    </font>
    <font>
      <b/>
      <sz val="9.0"/>
      <color theme="1"/>
      <name val="Arial"/>
    </font>
    <font>
      <color rgb="FFEFEFEF"/>
      <name val="Arial"/>
    </font>
    <font>
      <sz val="11.0"/>
      <color rgb="FF000000"/>
      <name val="Arial"/>
    </font>
    <font>
      <b/>
      <sz val="10.0"/>
      <color rgb="FFD9D9D9"/>
      <name val="Calibri"/>
    </font>
    <font>
      <sz val="10.0"/>
      <color rgb="FFD9D9D9"/>
      <name val="Calibri"/>
    </font>
    <font>
      <sz val="11.0"/>
      <color theme="1"/>
      <name val="Calibri"/>
    </font>
    <font>
      <sz val="10.0"/>
      <color theme="1"/>
      <name val="Calibri"/>
    </font>
    <font>
      <sz val="11.0"/>
      <color rgb="FF000000"/>
      <name val="Calibri"/>
    </font>
    <font>
      <sz val="10.0"/>
      <color rgb="FF000000"/>
      <name val="Calibri"/>
    </font>
    <font>
      <sz val="12.0"/>
      <color theme="1"/>
      <name val="Arial"/>
      <scheme val="minor"/>
    </font>
    <font>
      <b/>
      <color rgb="FFFFFFFF"/>
      <name val="Arial"/>
    </font>
    <font>
      <b/>
      <color rgb="FFFFFFFF"/>
      <name val="Arial"/>
      <scheme val="minor"/>
    </font>
    <font>
      <b/>
      <sz val="12.0"/>
      <color rgb="FFD9D9D9"/>
      <name val="Arial"/>
      <scheme val="minor"/>
    </font>
    <font>
      <b/>
      <color rgb="FF000000"/>
      <name val="Arial"/>
    </font>
    <font>
      <b/>
      <sz val="14.0"/>
      <color rgb="FF000000"/>
      <name val="Calibri"/>
    </font>
    <font>
      <b/>
      <sz val="14.0"/>
      <color rgb="FFFFFFFF"/>
      <name val="Calibri"/>
    </font>
    <font>
      <b/>
      <sz val="13.0"/>
      <color rgb="FF000000"/>
      <name val="Calibri"/>
    </font>
    <font>
      <b/>
      <sz val="9.0"/>
      <color rgb="FF000000"/>
      <name val="Calibri"/>
    </font>
    <font>
      <b/>
      <sz val="10.0"/>
      <color rgb="FF000000"/>
      <name val="Arial"/>
      <scheme val="minor"/>
    </font>
    <font>
      <b/>
      <sz val="10.0"/>
      <color rgb="FF000000"/>
      <name val="Calibri"/>
    </font>
    <font>
      <b/>
      <sz val="12.0"/>
      <color theme="1"/>
      <name val="Calibri"/>
    </font>
    <font>
      <sz val="44.0"/>
      <color rgb="FFFFFFFF"/>
      <name val="Calibri"/>
    </font>
    <font>
      <b/>
      <sz val="13.0"/>
      <color rgb="FFFFFFFF"/>
      <name val="Arial"/>
      <scheme val="minor"/>
    </font>
    <font>
      <b/>
      <sz val="10.0"/>
      <color theme="1"/>
      <name val="Arial"/>
      <scheme val="minor"/>
    </font>
    <font>
      <b/>
      <sz val="11.0"/>
      <color theme="1"/>
      <name val="Calibri"/>
    </font>
    <font>
      <b/>
      <sz val="11.0"/>
      <color theme="1"/>
      <name val="Arial"/>
      <scheme val="minor"/>
    </font>
    <font>
      <b/>
      <sz val="11.0"/>
      <color rgb="FFFFFFFF"/>
      <name val="Calibri"/>
    </font>
    <font>
      <b/>
      <sz val="27.0"/>
      <color rgb="FF000000"/>
      <name val="Arial"/>
      <scheme val="minor"/>
    </font>
    <font>
      <b/>
      <sz val="9.0"/>
      <color theme="1"/>
      <name val="Arial"/>
      <scheme val="minor"/>
    </font>
    <font>
      <b/>
      <sz val="13.0"/>
      <color rgb="FF000000"/>
      <name val="Arial"/>
      <scheme val="minor"/>
    </font>
    <font>
      <b/>
      <sz val="11.0"/>
      <color rgb="FF1F1F1F"/>
      <name val="Arial"/>
      <scheme val="minor"/>
    </font>
    <font>
      <sz val="9.0"/>
      <color theme="1"/>
      <name val="Arial"/>
      <scheme val="minor"/>
    </font>
    <font>
      <b/>
      <sz val="27.0"/>
      <color rgb="FFB45F06"/>
      <name val="Arial"/>
      <scheme val="minor"/>
    </font>
    <font>
      <color rgb="FF000000"/>
      <name val="Arial"/>
      <scheme val="minor"/>
    </font>
    <font>
      <b/>
      <color rgb="FF000000"/>
      <name val="Arial"/>
      <scheme val="minor"/>
    </font>
    <font>
      <b/>
      <i/>
      <sz val="12.0"/>
      <color theme="1"/>
      <name val="Arial"/>
      <scheme val="minor"/>
    </font>
    <font>
      <b/>
      <i/>
      <sz val="11.0"/>
      <color theme="1"/>
      <name val="Calibri"/>
    </font>
    <font>
      <b/>
      <sz val="11.0"/>
      <color rgb="FFFFFFFF"/>
      <name val="Arial"/>
    </font>
    <font>
      <b/>
      <sz val="11.0"/>
      <color rgb="FFD9D9D9"/>
      <name val="Arial"/>
    </font>
    <font>
      <b/>
      <sz val="11.0"/>
      <color rgb="FFFFFFFF"/>
      <name val="&quot;Google Sans&quot;"/>
    </font>
    <font>
      <b/>
      <sz val="11.0"/>
      <color rgb="FFFFFFFF"/>
      <name val="Google Sans"/>
    </font>
    <font>
      <b/>
      <i/>
      <color theme="1"/>
      <name val="Arial"/>
      <scheme val="minor"/>
    </font>
    <font>
      <sz val="10.0"/>
      <color rgb="FF1F1F1F"/>
      <name val="&quot;Google Sans&quot;"/>
    </font>
    <font>
      <sz val="9.0"/>
      <color rgb="FF1F1F1F"/>
      <name val="&quot;Google Sans&quot;"/>
    </font>
    <font>
      <b/>
      <sz val="11.0"/>
      <color rgb="FFFFFFFF"/>
      <name val="Arial"/>
      <scheme val="minor"/>
    </font>
    <font>
      <b/>
      <sz val="15.0"/>
      <color rgb="FFD9D9D9"/>
      <name val="Arial"/>
      <scheme val="minor"/>
    </font>
    <font>
      <sz val="15.0"/>
      <color theme="1"/>
      <name val="Arial"/>
      <scheme val="minor"/>
    </font>
    <font>
      <b/>
      <sz val="15.0"/>
      <color rgb="FF000000"/>
      <name val="Arial"/>
      <scheme val="minor"/>
    </font>
    <font>
      <b/>
      <sz val="10.0"/>
      <color rgb="FFD9D9D9"/>
      <name val="Arial"/>
      <scheme val="minor"/>
    </font>
    <font>
      <sz val="10.0"/>
      <color rgb="FFD9D9D9"/>
      <name val="Arial"/>
      <scheme val="minor"/>
    </font>
    <font>
      <b/>
      <sz val="11.0"/>
      <color rgb="FFD9D9D9"/>
      <name val="Arial"/>
      <scheme val="minor"/>
    </font>
  </fonts>
  <fills count="56">
    <fill>
      <patternFill patternType="none"/>
    </fill>
    <fill>
      <patternFill patternType="lightGray"/>
    </fill>
    <fill>
      <patternFill patternType="solid">
        <fgColor rgb="FF5B0F00"/>
        <bgColor rgb="FF5B0F00"/>
      </patternFill>
    </fill>
    <fill>
      <patternFill patternType="solid">
        <fgColor rgb="FFFFFFFF"/>
        <bgColor rgb="FFFFFFFF"/>
      </patternFill>
    </fill>
    <fill>
      <patternFill patternType="solid">
        <fgColor rgb="FFE06666"/>
        <bgColor rgb="FFE06666"/>
      </patternFill>
    </fill>
    <fill>
      <patternFill patternType="solid">
        <fgColor rgb="FFB7B7B7"/>
        <bgColor rgb="FFB7B7B7"/>
      </patternFill>
    </fill>
    <fill>
      <patternFill patternType="solid">
        <fgColor rgb="FFA4C2F4"/>
        <bgColor rgb="FFA4C2F4"/>
      </patternFill>
    </fill>
    <fill>
      <patternFill patternType="solid">
        <fgColor rgb="FFEA9999"/>
        <bgColor rgb="FFEA9999"/>
      </patternFill>
    </fill>
    <fill>
      <patternFill patternType="solid">
        <fgColor rgb="FFCCCCCC"/>
        <bgColor rgb="FFCCCCCC"/>
      </patternFill>
    </fill>
    <fill>
      <patternFill patternType="solid">
        <fgColor rgb="FFB6D7A8"/>
        <bgColor rgb="FFB6D7A8"/>
      </patternFill>
    </fill>
    <fill>
      <patternFill patternType="solid">
        <fgColor rgb="FF000000"/>
        <bgColor rgb="FF000000"/>
      </patternFill>
    </fill>
    <fill>
      <patternFill patternType="solid">
        <fgColor rgb="FF8E7CC3"/>
        <bgColor rgb="FF8E7CC3"/>
      </patternFill>
    </fill>
    <fill>
      <patternFill patternType="solid">
        <fgColor rgb="FFBF9000"/>
        <bgColor rgb="FFBF9000"/>
      </patternFill>
    </fill>
    <fill>
      <patternFill patternType="solid">
        <fgColor rgb="FFD9D9D9"/>
        <bgColor rgb="FFD9D9D9"/>
      </patternFill>
    </fill>
    <fill>
      <patternFill patternType="solid">
        <fgColor rgb="FF0C2740"/>
        <bgColor rgb="FF0C2740"/>
      </patternFill>
    </fill>
    <fill>
      <patternFill patternType="solid">
        <fgColor rgb="FF1155CC"/>
        <bgColor rgb="FF1155CC"/>
      </patternFill>
    </fill>
    <fill>
      <patternFill patternType="solid">
        <fgColor rgb="FFF4CCCC"/>
        <bgColor rgb="FFF4CCCC"/>
      </patternFill>
    </fill>
    <fill>
      <patternFill patternType="solid">
        <fgColor rgb="FF990000"/>
        <bgColor rgb="FF990000"/>
      </patternFill>
    </fill>
    <fill>
      <patternFill patternType="solid">
        <fgColor rgb="FF3D85C6"/>
        <bgColor rgb="FF3D85C6"/>
      </patternFill>
    </fill>
    <fill>
      <patternFill patternType="solid">
        <fgColor rgb="FF434343"/>
        <bgColor rgb="FF434343"/>
      </patternFill>
    </fill>
    <fill>
      <patternFill patternType="solid">
        <fgColor rgb="FFEFEFEF"/>
        <bgColor rgb="FFEFEFEF"/>
      </patternFill>
    </fill>
    <fill>
      <patternFill patternType="solid">
        <fgColor rgb="FF6FA8DC"/>
        <bgColor rgb="FF6FA8DC"/>
      </patternFill>
    </fill>
    <fill>
      <patternFill patternType="solid">
        <fgColor rgb="FFB4A7D6"/>
        <bgColor rgb="FFB4A7D6"/>
      </patternFill>
    </fill>
    <fill>
      <patternFill patternType="solid">
        <fgColor rgb="FF9FC5E8"/>
        <bgColor rgb="FF9FC5E8"/>
      </patternFill>
    </fill>
    <fill>
      <patternFill patternType="solid">
        <fgColor rgb="FFC9DAF8"/>
        <bgColor rgb="FFC9DAF8"/>
      </patternFill>
    </fill>
    <fill>
      <patternFill patternType="solid">
        <fgColor rgb="FFFFE599"/>
        <bgColor rgb="FFFFE599"/>
      </patternFill>
    </fill>
    <fill>
      <patternFill patternType="solid">
        <fgColor rgb="FF6AA84F"/>
        <bgColor rgb="FF6AA84F"/>
      </patternFill>
    </fill>
    <fill>
      <patternFill patternType="solid">
        <fgColor rgb="FFFF0000"/>
        <bgColor rgb="FFFF0000"/>
      </patternFill>
    </fill>
    <fill>
      <patternFill patternType="solid">
        <fgColor rgb="FF999999"/>
        <bgColor rgb="FF999999"/>
      </patternFill>
    </fill>
    <fill>
      <patternFill patternType="solid">
        <fgColor rgb="FF38761D"/>
        <bgColor rgb="FF38761D"/>
      </patternFill>
    </fill>
    <fill>
      <patternFill patternType="solid">
        <fgColor rgb="FF666666"/>
        <bgColor rgb="FF666666"/>
      </patternFill>
    </fill>
    <fill>
      <patternFill patternType="solid">
        <fgColor rgb="FF1C4587"/>
        <bgColor rgb="FF1C4587"/>
      </patternFill>
    </fill>
    <fill>
      <patternFill patternType="solid">
        <fgColor rgb="FF674EA7"/>
        <bgColor rgb="FF674EA7"/>
      </patternFill>
    </fill>
    <fill>
      <patternFill patternType="solid">
        <fgColor rgb="FFDD7E6B"/>
        <bgColor rgb="FFDD7E6B"/>
      </patternFill>
    </fill>
    <fill>
      <patternFill patternType="solid">
        <fgColor rgb="FFE6B8AF"/>
        <bgColor rgb="FFE6B8AF"/>
      </patternFill>
    </fill>
    <fill>
      <patternFill patternType="solid">
        <fgColor rgb="FF351C75"/>
        <bgColor rgb="FF351C75"/>
      </patternFill>
    </fill>
    <fill>
      <patternFill patternType="solid">
        <fgColor rgb="FF073763"/>
        <bgColor rgb="FF073763"/>
      </patternFill>
    </fill>
    <fill>
      <patternFill patternType="solid">
        <fgColor rgb="FF6D9EEB"/>
        <bgColor rgb="FF6D9EEB"/>
      </patternFill>
    </fill>
    <fill>
      <patternFill patternType="solid">
        <fgColor rgb="FFE64E9D"/>
        <bgColor rgb="FFE64E9D"/>
      </patternFill>
    </fill>
    <fill>
      <patternFill patternType="solid">
        <fgColor rgb="FF274E13"/>
        <bgColor rgb="FF274E13"/>
      </patternFill>
    </fill>
    <fill>
      <patternFill patternType="solid">
        <fgColor rgb="FF20124D"/>
        <bgColor rgb="FF20124D"/>
      </patternFill>
    </fill>
    <fill>
      <patternFill patternType="solid">
        <fgColor rgb="FFFFD966"/>
        <bgColor rgb="FFFFD966"/>
      </patternFill>
    </fill>
    <fill>
      <patternFill patternType="solid">
        <fgColor rgb="FFCC0000"/>
        <bgColor rgb="FFCC0000"/>
      </patternFill>
    </fill>
    <fill>
      <patternFill patternType="solid">
        <fgColor rgb="FFF3F3F3"/>
        <bgColor rgb="FFF3F3F3"/>
      </patternFill>
    </fill>
    <fill>
      <patternFill patternType="solid">
        <fgColor rgb="FF93C47D"/>
        <bgColor rgb="FF93C47D"/>
      </patternFill>
    </fill>
    <fill>
      <patternFill patternType="solid">
        <fgColor rgb="FFF6B26B"/>
        <bgColor rgb="FFF6B26B"/>
      </patternFill>
    </fill>
    <fill>
      <patternFill patternType="solid">
        <fgColor rgb="FF4A86E8"/>
        <bgColor rgb="FF4A86E8"/>
      </patternFill>
    </fill>
    <fill>
      <patternFill patternType="solid">
        <fgColor rgb="FFD5A6BD"/>
        <bgColor rgb="FFD5A6BD"/>
      </patternFill>
    </fill>
    <fill>
      <patternFill patternType="solid">
        <fgColor rgb="FF85200C"/>
        <bgColor rgb="FF85200C"/>
      </patternFill>
    </fill>
    <fill>
      <patternFill patternType="solid">
        <fgColor rgb="FFD0E0E3"/>
        <bgColor rgb="FFD0E0E3"/>
      </patternFill>
    </fill>
    <fill>
      <patternFill patternType="solid">
        <fgColor rgb="FFFFF2CC"/>
        <bgColor rgb="FFFFF2CC"/>
      </patternFill>
    </fill>
    <fill>
      <patternFill patternType="solid">
        <fgColor rgb="FF0B5394"/>
        <bgColor rgb="FF0B5394"/>
      </patternFill>
    </fill>
    <fill>
      <patternFill patternType="solid">
        <fgColor rgb="FF45818E"/>
        <bgColor rgb="FF45818E"/>
      </patternFill>
    </fill>
    <fill>
      <patternFill patternType="solid">
        <fgColor rgb="FF76A5AF"/>
        <bgColor rgb="FF76A5AF"/>
      </patternFill>
    </fill>
    <fill>
      <patternFill patternType="solid">
        <fgColor rgb="FFA2C4C9"/>
        <bgColor rgb="FFA2C4C9"/>
      </patternFill>
    </fill>
    <fill>
      <patternFill patternType="solid">
        <fgColor rgb="FF660000"/>
        <bgColor rgb="FF660000"/>
      </patternFill>
    </fill>
  </fills>
  <borders count="4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style="thin">
        <color rgb="FF000000"/>
      </top>
    </border>
    <border>
      <left style="medium">
        <color rgb="FF000000"/>
      </left>
      <right style="medium">
        <color rgb="FF000000"/>
      </right>
      <top style="medium">
        <color rgb="FF000000"/>
      </top>
      <bottom style="thin">
        <color rgb="FF000000"/>
      </bottom>
    </border>
    <border>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top style="thin">
        <color rgb="FF000000"/>
      </top>
      <bottom style="medium">
        <color rgb="FF000000"/>
      </bottom>
    </border>
    <border>
      <left style="medium">
        <color rgb="FF000000"/>
      </left>
      <right style="medium">
        <color rgb="FF000000"/>
      </right>
      <bottom style="medium">
        <color rgb="FF000000"/>
      </bottom>
    </border>
    <border>
      <bottom style="medium">
        <color rgb="FF000000"/>
      </bottom>
    </border>
    <border>
      <left style="thin">
        <color rgb="FF000000"/>
      </left>
      <right style="thin">
        <color rgb="FF000000"/>
      </right>
      <bottom style="thin">
        <color rgb="FF000000"/>
      </bottom>
    </border>
    <border>
      <right style="thin">
        <color rgb="FF000000"/>
      </right>
      <top style="thin">
        <color rgb="FF000000"/>
      </top>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top style="medium">
        <color rgb="FF000000"/>
      </top>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top style="thin">
        <color rgb="FF000000"/>
      </top>
    </border>
    <border>
      <top style="thin">
        <color rgb="FF000000"/>
      </top>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780F1D"/>
      </left>
      <right style="thin">
        <color rgb="FF780F1D"/>
      </right>
      <top style="thin">
        <color rgb="FF780F1D"/>
      </top>
      <bottom style="thin">
        <color rgb="FF780F1D"/>
      </bottom>
    </border>
    <border>
      <left style="thin">
        <color rgb="FF000000"/>
      </left>
    </border>
    <border>
      <right style="thin">
        <color rgb="FF000000"/>
      </right>
    </border>
    <border>
      <left style="thin">
        <color rgb="FF780F1D"/>
      </left>
      <right style="thin">
        <color rgb="FF780F1D"/>
      </right>
      <top style="thin">
        <color rgb="FF780F1D"/>
      </top>
    </border>
  </borders>
  <cellStyleXfs count="1">
    <xf borderId="0" fillId="0" fontId="0" numFmtId="0" applyAlignment="1" applyFont="1"/>
  </cellStyleXfs>
  <cellXfs count="803">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2" numFmtId="0" xfId="0" applyAlignment="1" applyBorder="1" applyFont="1">
      <alignment horizontal="center" readingOrder="0" vertical="center"/>
    </xf>
    <xf borderId="1" fillId="2" fontId="2" numFmtId="0" xfId="0" applyAlignment="1" applyBorder="1" applyFont="1">
      <alignment horizontal="center" vertical="center"/>
    </xf>
    <xf borderId="1" fillId="2" fontId="2" numFmtId="164" xfId="0" applyAlignment="1" applyBorder="1" applyFont="1" applyNumberFormat="1">
      <alignment horizontal="center" readingOrder="0" shrinkToFit="0" vertical="center" wrapText="1"/>
    </xf>
    <xf borderId="1" fillId="2" fontId="3" numFmtId="164" xfId="0" applyAlignment="1" applyBorder="1" applyFont="1" applyNumberFormat="1">
      <alignment horizontal="center" readingOrder="0" shrinkToFit="0" vertical="center" wrapText="1"/>
    </xf>
    <xf borderId="1" fillId="2" fontId="2" numFmtId="165" xfId="0" applyAlignment="1" applyBorder="1" applyFont="1" applyNumberFormat="1">
      <alignment horizontal="center" readingOrder="0" vertical="center"/>
    </xf>
    <xf borderId="1" fillId="2" fontId="2" numFmtId="0" xfId="0" applyAlignment="1" applyBorder="1" applyFont="1">
      <alignment horizontal="center" readingOrder="0" shrinkToFit="0" vertical="center" wrapText="1"/>
    </xf>
    <xf borderId="0" fillId="3" fontId="4" numFmtId="0" xfId="0" applyAlignment="1" applyFill="1" applyFont="1">
      <alignment vertical="center"/>
    </xf>
    <xf borderId="0" fillId="3" fontId="5" numFmtId="0" xfId="0" applyAlignment="1" applyFont="1">
      <alignment horizontal="center" readingOrder="0" vertical="center"/>
    </xf>
    <xf borderId="2" fillId="4" fontId="6" numFmtId="0" xfId="0" applyAlignment="1" applyBorder="1" applyFill="1" applyFont="1">
      <alignment horizontal="center" readingOrder="0" vertical="center"/>
    </xf>
    <xf borderId="3" fillId="0" fontId="7" numFmtId="0" xfId="0" applyBorder="1" applyFont="1"/>
    <xf borderId="4" fillId="0" fontId="7" numFmtId="0" xfId="0" applyBorder="1" applyFont="1"/>
    <xf borderId="0" fillId="3" fontId="8" numFmtId="0" xfId="0" applyAlignment="1" applyFont="1">
      <alignment horizontal="center" readingOrder="0" vertical="center"/>
    </xf>
    <xf borderId="0" fillId="3" fontId="9" numFmtId="0" xfId="0" applyAlignment="1" applyFont="1">
      <alignment horizontal="center" readingOrder="0"/>
    </xf>
    <xf borderId="1" fillId="5" fontId="10" numFmtId="0" xfId="0" applyAlignment="1" applyBorder="1" applyFill="1" applyFont="1">
      <alignment horizontal="center" readingOrder="0" vertical="center"/>
    </xf>
    <xf borderId="4" fillId="3" fontId="11" numFmtId="0" xfId="0" applyAlignment="1" applyBorder="1" applyFont="1">
      <alignment readingOrder="0" vertical="center"/>
    </xf>
    <xf borderId="4" fillId="3" fontId="12" numFmtId="0" xfId="0" applyAlignment="1" applyBorder="1" applyFont="1">
      <alignment horizontal="center" vertical="center"/>
    </xf>
    <xf borderId="1" fillId="0" fontId="12" numFmtId="0" xfId="0" applyAlignment="1" applyBorder="1" applyFont="1">
      <alignment horizontal="center" readingOrder="0" vertical="center"/>
    </xf>
    <xf borderId="4" fillId="6" fontId="10" numFmtId="164" xfId="0" applyAlignment="1" applyBorder="1" applyFill="1" applyFont="1" applyNumberFormat="1">
      <alignment horizontal="center" readingOrder="0" vertical="center"/>
    </xf>
    <xf borderId="4" fillId="4" fontId="10" numFmtId="164" xfId="0" applyAlignment="1" applyBorder="1" applyFont="1" applyNumberFormat="1">
      <alignment horizontal="center" readingOrder="0" vertical="center"/>
    </xf>
    <xf borderId="4" fillId="3" fontId="12" numFmtId="3" xfId="0" applyAlignment="1" applyBorder="1" applyFont="1" applyNumberFormat="1">
      <alignment horizontal="center" readingOrder="0" vertical="center"/>
    </xf>
    <xf borderId="1" fillId="0" fontId="13" numFmtId="0" xfId="0" applyAlignment="1" applyBorder="1" applyFont="1">
      <alignment horizontal="center" readingOrder="0" vertical="center"/>
    </xf>
    <xf borderId="1" fillId="0" fontId="12" numFmtId="0" xfId="0" applyAlignment="1" applyBorder="1" applyFont="1">
      <alignment horizontal="center" vertical="center"/>
    </xf>
    <xf borderId="1" fillId="7" fontId="11" numFmtId="0" xfId="0" applyAlignment="1" applyBorder="1" applyFill="1" applyFont="1">
      <alignment horizontal="center" readingOrder="0" vertical="center"/>
    </xf>
    <xf borderId="0" fillId="3" fontId="8" numFmtId="0" xfId="0" applyAlignment="1" applyFont="1">
      <alignment horizontal="center" readingOrder="0" shrinkToFit="0" vertical="center" wrapText="1"/>
    </xf>
    <xf borderId="1" fillId="5" fontId="10" numFmtId="0" xfId="0" applyAlignment="1" applyBorder="1" applyFont="1">
      <alignment horizontal="center" readingOrder="0"/>
    </xf>
    <xf borderId="4" fillId="8" fontId="11" numFmtId="0" xfId="0" applyBorder="1" applyFill="1" applyFont="1"/>
    <xf borderId="4" fillId="3" fontId="12" numFmtId="0" xfId="0" applyAlignment="1" applyBorder="1" applyFont="1">
      <alignment horizontal="center"/>
    </xf>
    <xf borderId="1" fillId="8" fontId="12" numFmtId="0" xfId="0" applyAlignment="1" applyBorder="1" applyFont="1">
      <alignment horizontal="center"/>
    </xf>
    <xf borderId="4" fillId="6" fontId="10" numFmtId="164" xfId="0" applyAlignment="1" applyBorder="1" applyFont="1" applyNumberFormat="1">
      <alignment horizontal="center"/>
    </xf>
    <xf borderId="4" fillId="4" fontId="10" numFmtId="164" xfId="0" applyAlignment="1" applyBorder="1" applyFont="1" applyNumberFormat="1">
      <alignment horizontal="center"/>
    </xf>
    <xf borderId="4" fillId="8" fontId="12" numFmtId="3" xfId="0" applyAlignment="1" applyBorder="1" applyFont="1" applyNumberFormat="1">
      <alignment horizontal="center"/>
    </xf>
    <xf borderId="1" fillId="3" fontId="12" numFmtId="0" xfId="0" applyBorder="1" applyFont="1"/>
    <xf borderId="1" fillId="0" fontId="12" numFmtId="0" xfId="0" applyBorder="1" applyFont="1"/>
    <xf borderId="1" fillId="9" fontId="11" numFmtId="0" xfId="0" applyAlignment="1" applyBorder="1" applyFill="1" applyFont="1">
      <alignment horizontal="center"/>
    </xf>
    <xf borderId="0" fillId="0" fontId="12" numFmtId="0" xfId="0" applyAlignment="1" applyFont="1">
      <alignment vertical="bottom"/>
    </xf>
    <xf borderId="0" fillId="0" fontId="12" numFmtId="0" xfId="0" applyAlignment="1" applyFont="1">
      <alignment vertical="bottom"/>
    </xf>
    <xf borderId="4" fillId="8" fontId="14" numFmtId="0" xfId="0" applyAlignment="1" applyBorder="1" applyFont="1">
      <alignment horizontal="left" readingOrder="0" vertical="center"/>
    </xf>
    <xf borderId="4" fillId="10" fontId="15" numFmtId="0" xfId="0" applyAlignment="1" applyBorder="1" applyFill="1" applyFont="1">
      <alignment horizontal="center" readingOrder="0" vertical="center"/>
    </xf>
    <xf borderId="4" fillId="8" fontId="16" numFmtId="0" xfId="0" applyAlignment="1" applyBorder="1" applyFont="1">
      <alignment horizontal="center" readingOrder="0" vertical="center"/>
    </xf>
    <xf borderId="4" fillId="6" fontId="10" numFmtId="164" xfId="0" applyAlignment="1" applyBorder="1" applyFont="1" applyNumberFormat="1">
      <alignment horizontal="center" readingOrder="0"/>
    </xf>
    <xf borderId="4" fillId="4" fontId="10" numFmtId="164" xfId="0" applyAlignment="1" applyBorder="1" applyFont="1" applyNumberFormat="1">
      <alignment horizontal="center" readingOrder="0"/>
    </xf>
    <xf borderId="4" fillId="8" fontId="16" numFmtId="3" xfId="0" applyAlignment="1" applyBorder="1" applyFont="1" applyNumberFormat="1">
      <alignment horizontal="center" readingOrder="0" vertical="center"/>
    </xf>
    <xf borderId="1" fillId="0" fontId="16" numFmtId="0" xfId="0" applyAlignment="1" applyBorder="1" applyFont="1">
      <alignment horizontal="center" readingOrder="0" vertical="center"/>
    </xf>
    <xf borderId="1" fillId="3" fontId="12" numFmtId="166" xfId="0" applyAlignment="1" applyBorder="1" applyFont="1" applyNumberFormat="1">
      <alignment horizontal="center" readingOrder="0" vertical="center"/>
    </xf>
    <xf borderId="1" fillId="3" fontId="12" numFmtId="0" xfId="0" applyAlignment="1" applyBorder="1" applyFont="1">
      <alignment horizontal="center" vertical="center"/>
    </xf>
    <xf borderId="1" fillId="9" fontId="11" numFmtId="0" xfId="0" applyAlignment="1" applyBorder="1" applyFont="1">
      <alignment horizontal="center" readingOrder="0" vertical="center"/>
    </xf>
    <xf borderId="4" fillId="3" fontId="11" numFmtId="0" xfId="0" applyAlignment="1" applyBorder="1" applyFont="1">
      <alignment vertical="center"/>
    </xf>
    <xf borderId="1" fillId="0" fontId="12" numFmtId="0" xfId="0" applyAlignment="1" applyBorder="1" applyFont="1">
      <alignment horizontal="center" vertical="center"/>
    </xf>
    <xf borderId="4" fillId="3" fontId="12" numFmtId="3" xfId="0" applyAlignment="1" applyBorder="1" applyFont="1" applyNumberFormat="1">
      <alignment horizontal="center" vertical="center"/>
    </xf>
    <xf borderId="4" fillId="3" fontId="14" numFmtId="0" xfId="0" applyAlignment="1" applyBorder="1" applyFont="1">
      <alignment horizontal="left" readingOrder="0" vertical="center"/>
    </xf>
    <xf borderId="4" fillId="11" fontId="17" numFmtId="0" xfId="0" applyAlignment="1" applyBorder="1" applyFill="1" applyFont="1">
      <alignment horizontal="center" readingOrder="0" vertical="center"/>
    </xf>
    <xf borderId="4" fillId="0" fontId="16" numFmtId="165" xfId="0" applyAlignment="1" applyBorder="1" applyFont="1" applyNumberFormat="1">
      <alignment horizontal="center" readingOrder="0" vertical="center"/>
    </xf>
    <xf borderId="1" fillId="3" fontId="16" numFmtId="0" xfId="0" applyAlignment="1" applyBorder="1" applyFont="1">
      <alignment horizontal="center" readingOrder="0" vertical="center"/>
    </xf>
    <xf borderId="1" fillId="0" fontId="16" numFmtId="0" xfId="0" applyAlignment="1" applyBorder="1" applyFont="1">
      <alignment horizontal="center" vertical="center"/>
    </xf>
    <xf borderId="4" fillId="12" fontId="12" numFmtId="0" xfId="0" applyAlignment="1" applyBorder="1" applyFill="1" applyFont="1">
      <alignment horizontal="center" vertical="center"/>
    </xf>
    <xf borderId="1" fillId="3" fontId="12" numFmtId="0" xfId="0" applyAlignment="1" applyBorder="1" applyFont="1">
      <alignment horizontal="center" readingOrder="0" vertical="center"/>
    </xf>
    <xf borderId="0" fillId="0" fontId="13" numFmtId="0" xfId="0" applyAlignment="1" applyFont="1">
      <alignment readingOrder="0"/>
    </xf>
    <xf borderId="4" fillId="8" fontId="11" numFmtId="0" xfId="0" applyAlignment="1" applyBorder="1" applyFont="1">
      <alignment readingOrder="0" vertical="center"/>
    </xf>
    <xf borderId="1" fillId="8" fontId="12" numFmtId="0" xfId="0" applyAlignment="1" applyBorder="1" applyFont="1">
      <alignment horizontal="center" vertical="center"/>
    </xf>
    <xf borderId="4" fillId="8" fontId="12" numFmtId="3" xfId="0" applyAlignment="1" applyBorder="1" applyFont="1" applyNumberFormat="1">
      <alignment horizontal="center" readingOrder="0" vertical="center"/>
    </xf>
    <xf borderId="4" fillId="13" fontId="18" numFmtId="0" xfId="0" applyAlignment="1" applyBorder="1" applyFill="1" applyFont="1">
      <alignment horizontal="left" readingOrder="0" vertical="center"/>
    </xf>
    <xf borderId="4" fillId="9" fontId="19" numFmtId="0" xfId="0" applyAlignment="1" applyBorder="1" applyFont="1">
      <alignment horizontal="center" readingOrder="0"/>
    </xf>
    <xf borderId="4" fillId="8" fontId="17" numFmtId="0" xfId="0" applyAlignment="1" applyBorder="1" applyFont="1">
      <alignment horizontal="center" readingOrder="0" vertical="center"/>
    </xf>
    <xf borderId="4" fillId="6" fontId="10" numFmtId="164" xfId="0" applyAlignment="1" applyBorder="1" applyFont="1" applyNumberFormat="1">
      <alignment horizontal="center" readingOrder="0" shrinkToFit="0" vertical="center" wrapText="1"/>
    </xf>
    <xf borderId="4" fillId="4" fontId="10" numFmtId="164" xfId="0" applyAlignment="1" applyBorder="1" applyFont="1" applyNumberFormat="1">
      <alignment horizontal="center" readingOrder="0" shrinkToFit="0" vertical="center" wrapText="1"/>
    </xf>
    <xf borderId="4" fillId="13" fontId="11" numFmtId="0" xfId="0" applyAlignment="1" applyBorder="1" applyFont="1">
      <alignment readingOrder="0" vertical="center"/>
    </xf>
    <xf borderId="4" fillId="14" fontId="20" numFmtId="0" xfId="0" applyAlignment="1" applyBorder="1" applyFill="1" applyFont="1">
      <alignment horizontal="center" readingOrder="0" vertical="center"/>
    </xf>
    <xf borderId="1" fillId="13" fontId="12" numFmtId="0" xfId="0" applyAlignment="1" applyBorder="1" applyFont="1">
      <alignment horizontal="center" readingOrder="0" vertical="center"/>
    </xf>
    <xf borderId="4" fillId="13" fontId="12" numFmtId="3" xfId="0" applyAlignment="1" applyBorder="1" applyFont="1" applyNumberFormat="1">
      <alignment horizontal="center" readingOrder="0" vertical="center"/>
    </xf>
    <xf borderId="4" fillId="13" fontId="11" numFmtId="0" xfId="0" applyAlignment="1" applyBorder="1" applyFont="1">
      <alignment vertical="center"/>
    </xf>
    <xf borderId="4" fillId="15" fontId="12" numFmtId="0" xfId="0" applyAlignment="1" applyBorder="1" applyFill="1" applyFont="1">
      <alignment horizontal="center" vertical="center"/>
    </xf>
    <xf borderId="4" fillId="13" fontId="12" numFmtId="0" xfId="0" applyAlignment="1" applyBorder="1" applyFont="1">
      <alignment horizontal="center" readingOrder="0" vertical="center"/>
    </xf>
    <xf borderId="4" fillId="8" fontId="18" numFmtId="0" xfId="0" applyAlignment="1" applyBorder="1" applyFont="1">
      <alignment horizontal="left" readingOrder="0" vertical="center"/>
    </xf>
    <xf borderId="4" fillId="16" fontId="19" numFmtId="0" xfId="0" applyAlignment="1" applyBorder="1" applyFill="1" applyFont="1">
      <alignment horizontal="center" readingOrder="0"/>
    </xf>
    <xf borderId="4" fillId="13" fontId="17" numFmtId="0" xfId="0" applyAlignment="1" applyBorder="1" applyFont="1">
      <alignment horizontal="center" readingOrder="0" vertical="center"/>
    </xf>
    <xf borderId="1" fillId="3" fontId="11" numFmtId="0" xfId="0" applyAlignment="1" applyBorder="1" applyFont="1">
      <alignment horizontal="center" readingOrder="0" vertical="center"/>
    </xf>
    <xf borderId="1" fillId="3" fontId="17" numFmtId="166" xfId="0" applyAlignment="1" applyBorder="1" applyFont="1" applyNumberFormat="1">
      <alignment horizontal="center" readingOrder="0" vertical="center"/>
    </xf>
    <xf borderId="1" fillId="3" fontId="17" numFmtId="0" xfId="0" applyAlignment="1" applyBorder="1" applyFont="1">
      <alignment horizontal="center" readingOrder="0" vertical="center"/>
    </xf>
    <xf borderId="0" fillId="3" fontId="21" numFmtId="0" xfId="0" applyAlignment="1" applyFont="1">
      <alignment horizontal="center" readingOrder="0" vertical="center"/>
    </xf>
    <xf borderId="0" fillId="3" fontId="22" numFmtId="0" xfId="0" applyAlignment="1" applyFont="1">
      <alignment horizontal="center" readingOrder="0" vertical="center"/>
    </xf>
    <xf borderId="0" fillId="3" fontId="23" numFmtId="0" xfId="0" applyAlignment="1" applyFont="1">
      <alignment horizontal="center" readingOrder="0" vertical="center"/>
    </xf>
    <xf borderId="0" fillId="3" fontId="24" numFmtId="0" xfId="0" applyAlignment="1" applyFont="1">
      <alignment horizontal="center" readingOrder="0" shrinkToFit="0" vertical="center" wrapText="1"/>
    </xf>
    <xf borderId="0" fillId="3" fontId="25" numFmtId="0" xfId="0" applyAlignment="1" applyFont="1">
      <alignment horizontal="center" shrinkToFit="0" vertical="center" wrapText="1"/>
    </xf>
    <xf borderId="0" fillId="3" fontId="1" numFmtId="0" xfId="0" applyAlignment="1" applyFont="1">
      <alignment horizontal="center" readingOrder="0" vertical="center"/>
    </xf>
    <xf borderId="4" fillId="8" fontId="11" numFmtId="0" xfId="0" applyAlignment="1" applyBorder="1" applyFont="1">
      <alignment vertical="center"/>
    </xf>
    <xf borderId="4" fillId="14" fontId="20" numFmtId="0" xfId="0" applyAlignment="1" applyBorder="1" applyFont="1">
      <alignment horizontal="center" vertical="bottom"/>
    </xf>
    <xf borderId="1" fillId="8" fontId="12" numFmtId="0" xfId="0" applyAlignment="1" applyBorder="1" applyFont="1">
      <alignment horizontal="center" vertical="bottom"/>
    </xf>
    <xf borderId="4" fillId="13" fontId="12" numFmtId="3" xfId="0" applyAlignment="1" applyBorder="1" applyFont="1" applyNumberFormat="1">
      <alignment horizontal="center" vertical="bottom"/>
    </xf>
    <xf borderId="4" fillId="3" fontId="18" numFmtId="0" xfId="0" applyAlignment="1" applyBorder="1" applyFont="1">
      <alignment horizontal="left" readingOrder="0" vertical="center"/>
    </xf>
    <xf borderId="4" fillId="3" fontId="17" numFmtId="0" xfId="0" applyAlignment="1" applyBorder="1" applyFont="1">
      <alignment horizontal="center" readingOrder="0" vertical="center"/>
    </xf>
    <xf borderId="1" fillId="0" fontId="17" numFmtId="0" xfId="0" applyAlignment="1" applyBorder="1" applyFont="1">
      <alignment horizontal="center" readingOrder="0" vertical="center"/>
    </xf>
    <xf borderId="4" fillId="14" fontId="20" numFmtId="0" xfId="0" applyAlignment="1" applyBorder="1" applyFont="1">
      <alignment horizontal="center" readingOrder="0"/>
    </xf>
    <xf borderId="4" fillId="17" fontId="20" numFmtId="0" xfId="0" applyAlignment="1" applyBorder="1" applyFill="1" applyFont="1">
      <alignment horizontal="center" readingOrder="0"/>
    </xf>
    <xf borderId="4" fillId="18" fontId="19" numFmtId="0" xfId="0" applyAlignment="1" applyBorder="1" applyFill="1" applyFont="1">
      <alignment horizontal="center" readingOrder="0" vertical="bottom"/>
    </xf>
    <xf borderId="4" fillId="8" fontId="12" numFmtId="0" xfId="0" applyAlignment="1" applyBorder="1" applyFont="1">
      <alignment horizontal="center" readingOrder="0" vertical="bottom"/>
    </xf>
    <xf borderId="4" fillId="13" fontId="12" numFmtId="3" xfId="0" applyAlignment="1" applyBorder="1" applyFont="1" applyNumberFormat="1">
      <alignment horizontal="center" readingOrder="0" vertical="bottom"/>
    </xf>
    <xf borderId="4" fillId="19" fontId="20" numFmtId="0" xfId="0" applyAlignment="1" applyBorder="1" applyFill="1" applyFont="1">
      <alignment horizontal="center" readingOrder="0" vertical="bottom"/>
    </xf>
    <xf borderId="4" fillId="8" fontId="26" numFmtId="0" xfId="0" applyAlignment="1" applyBorder="1" applyFont="1">
      <alignment horizontal="center" readingOrder="0"/>
    </xf>
    <xf borderId="1" fillId="20" fontId="16" numFmtId="0" xfId="0" applyAlignment="1" applyBorder="1" applyFill="1" applyFont="1">
      <alignment horizontal="center" readingOrder="0" vertical="center"/>
    </xf>
    <xf borderId="4" fillId="8" fontId="11" numFmtId="0" xfId="0" applyAlignment="1" applyBorder="1" applyFont="1">
      <alignment readingOrder="0" vertical="bottom"/>
    </xf>
    <xf borderId="4" fillId="21" fontId="27" numFmtId="0" xfId="0" applyAlignment="1" applyBorder="1" applyFill="1" applyFont="1">
      <alignment horizontal="center" vertical="bottom"/>
    </xf>
    <xf borderId="4" fillId="13" fontId="12" numFmtId="0" xfId="0" applyAlignment="1" applyBorder="1" applyFont="1">
      <alignment horizontal="center" readingOrder="0" vertical="bottom"/>
    </xf>
    <xf borderId="4" fillId="8" fontId="11" numFmtId="0" xfId="0" applyAlignment="1" applyBorder="1" applyFont="1">
      <alignment vertical="bottom"/>
    </xf>
    <xf borderId="4" fillId="21" fontId="12" numFmtId="0" xfId="0" applyAlignment="1" applyBorder="1" applyFont="1">
      <alignment vertical="bottom"/>
    </xf>
    <xf borderId="4" fillId="13" fontId="12" numFmtId="3" xfId="0" applyAlignment="1" applyBorder="1" applyFont="1" applyNumberFormat="1">
      <alignment horizontal="center"/>
    </xf>
    <xf borderId="1" fillId="20" fontId="12" numFmtId="0" xfId="0" applyAlignment="1" applyBorder="1" applyFont="1">
      <alignment horizontal="center"/>
    </xf>
    <xf borderId="1" fillId="9" fontId="12" numFmtId="0" xfId="0" applyBorder="1" applyFont="1"/>
    <xf borderId="1" fillId="8" fontId="12" numFmtId="0" xfId="0" applyAlignment="1" applyBorder="1" applyFont="1">
      <alignment horizontal="center" readingOrder="0" vertical="center"/>
    </xf>
    <xf borderId="4" fillId="0" fontId="11" numFmtId="0" xfId="0" applyAlignment="1" applyBorder="1" applyFont="1">
      <alignment readingOrder="0" vertical="center"/>
    </xf>
    <xf borderId="4" fillId="0" fontId="16" numFmtId="0" xfId="0" applyAlignment="1" applyBorder="1" applyFont="1">
      <alignment horizontal="center" readingOrder="0" vertical="center"/>
    </xf>
    <xf borderId="4" fillId="0" fontId="12" numFmtId="3" xfId="0" applyAlignment="1" applyBorder="1" applyFont="1" applyNumberFormat="1">
      <alignment horizontal="center" readingOrder="0" vertical="center"/>
    </xf>
    <xf borderId="4" fillId="22" fontId="19" numFmtId="0" xfId="0" applyAlignment="1" applyBorder="1" applyFill="1" applyFont="1">
      <alignment horizontal="center" readingOrder="0" vertical="center"/>
    </xf>
    <xf borderId="4" fillId="23" fontId="19" numFmtId="0" xfId="0" applyAlignment="1" applyBorder="1" applyFill="1" applyFont="1">
      <alignment horizontal="center" readingOrder="0" vertical="center"/>
    </xf>
    <xf borderId="1" fillId="3" fontId="16" numFmtId="166" xfId="0" applyAlignment="1" applyBorder="1" applyFont="1" applyNumberFormat="1">
      <alignment horizontal="center" readingOrder="0" vertical="center"/>
    </xf>
    <xf borderId="4" fillId="22" fontId="19" numFmtId="0" xfId="0" applyAlignment="1" applyBorder="1" applyFont="1">
      <alignment horizontal="center" readingOrder="0"/>
    </xf>
    <xf borderId="1" fillId="3" fontId="16" numFmtId="9" xfId="0" applyAlignment="1" applyBorder="1" applyFont="1" applyNumberFormat="1">
      <alignment horizontal="center" readingOrder="0" vertical="center"/>
    </xf>
    <xf borderId="4" fillId="6" fontId="19" numFmtId="0" xfId="0" applyAlignment="1" applyBorder="1" applyFont="1">
      <alignment horizontal="center" readingOrder="0" vertical="center"/>
    </xf>
    <xf borderId="4" fillId="8" fontId="12" numFmtId="0" xfId="0" applyAlignment="1" applyBorder="1" applyFont="1">
      <alignment horizontal="center" readingOrder="0" vertical="center"/>
    </xf>
    <xf borderId="4" fillId="3" fontId="16" numFmtId="0" xfId="0" applyAlignment="1" applyBorder="1" applyFont="1">
      <alignment horizontal="center" readingOrder="0" vertical="center"/>
    </xf>
    <xf borderId="4" fillId="3" fontId="16" numFmtId="3" xfId="0" applyAlignment="1" applyBorder="1" applyFont="1" applyNumberFormat="1">
      <alignment horizontal="center" readingOrder="0" vertical="center"/>
    </xf>
    <xf borderId="4" fillId="24" fontId="12" numFmtId="0" xfId="0" applyAlignment="1" applyBorder="1" applyFill="1" applyFont="1">
      <alignment horizontal="center" readingOrder="0" vertical="center"/>
    </xf>
    <xf borderId="4" fillId="3" fontId="16" numFmtId="165" xfId="0" applyAlignment="1" applyBorder="1" applyFont="1" applyNumberFormat="1">
      <alignment horizontal="center" readingOrder="0" vertical="center"/>
    </xf>
    <xf borderId="4" fillId="25" fontId="17" numFmtId="0" xfId="0" applyAlignment="1" applyBorder="1" applyFill="1" applyFont="1">
      <alignment horizontal="center" readingOrder="0" vertical="center"/>
    </xf>
    <xf borderId="2" fillId="26" fontId="6" numFmtId="0" xfId="0" applyAlignment="1" applyBorder="1" applyFill="1" applyFont="1">
      <alignment horizontal="center" readingOrder="0" vertical="center"/>
    </xf>
    <xf borderId="1" fillId="5" fontId="28" numFmtId="0" xfId="0" applyAlignment="1" applyBorder="1" applyFont="1">
      <alignment horizontal="center" readingOrder="0" vertical="center"/>
    </xf>
    <xf borderId="4" fillId="27" fontId="19" numFmtId="0" xfId="0" applyAlignment="1" applyBorder="1" applyFill="1" applyFont="1">
      <alignment horizontal="center" readingOrder="0"/>
    </xf>
    <xf borderId="2" fillId="28" fontId="10" numFmtId="0" xfId="0" applyAlignment="1" applyBorder="1" applyFill="1" applyFont="1">
      <alignment horizontal="center" readingOrder="0" vertical="center"/>
    </xf>
    <xf borderId="1" fillId="8" fontId="29" numFmtId="0" xfId="0" applyAlignment="1" applyBorder="1" applyFont="1">
      <alignment horizontal="center" readingOrder="0" vertical="center"/>
    </xf>
    <xf borderId="4" fillId="29" fontId="17" numFmtId="0" xfId="0" applyAlignment="1" applyBorder="1" applyFill="1" applyFont="1">
      <alignment horizontal="center" readingOrder="0" vertical="center"/>
    </xf>
    <xf borderId="1" fillId="0" fontId="13" numFmtId="0" xfId="0" applyAlignment="1" applyBorder="1" applyFont="1">
      <alignment horizontal="center" readingOrder="0"/>
    </xf>
    <xf borderId="4" fillId="3" fontId="12" numFmtId="3" xfId="0" applyAlignment="1" applyBorder="1" applyFont="1" applyNumberFormat="1">
      <alignment horizontal="center" readingOrder="0"/>
    </xf>
    <xf borderId="1" fillId="8" fontId="16" numFmtId="0" xfId="0" applyAlignment="1" applyBorder="1" applyFont="1">
      <alignment horizontal="center" readingOrder="0" vertical="center"/>
    </xf>
    <xf borderId="4" fillId="30" fontId="17" numFmtId="0" xfId="0" applyAlignment="1" applyBorder="1" applyFill="1" applyFont="1">
      <alignment horizontal="center" readingOrder="0" vertical="center"/>
    </xf>
    <xf borderId="4" fillId="3" fontId="11" numFmtId="0" xfId="0" applyAlignment="1" applyBorder="1" applyFont="1">
      <alignment horizontal="left" vertical="center"/>
    </xf>
    <xf borderId="1" fillId="0" fontId="12" numFmtId="0" xfId="0" applyAlignment="1" applyBorder="1" applyFont="1">
      <alignment horizontal="center" vertical="bottom"/>
    </xf>
    <xf borderId="1" fillId="8" fontId="17" numFmtId="0" xfId="0" applyAlignment="1" applyBorder="1" applyFont="1">
      <alignment horizontal="center" readingOrder="0" vertical="center"/>
    </xf>
    <xf borderId="4" fillId="14" fontId="15" numFmtId="0" xfId="0" applyAlignment="1" applyBorder="1" applyFont="1">
      <alignment horizontal="center" readingOrder="0" vertical="center"/>
    </xf>
    <xf borderId="1" fillId="28" fontId="16" numFmtId="0" xfId="0" applyAlignment="1" applyBorder="1" applyFont="1">
      <alignment horizontal="center" readingOrder="0" vertical="center"/>
    </xf>
    <xf borderId="1" fillId="0" fontId="11" numFmtId="0" xfId="0" applyAlignment="1" applyBorder="1" applyFont="1">
      <alignment readingOrder="0" shrinkToFit="0" vertical="center" wrapText="1"/>
    </xf>
    <xf borderId="1" fillId="31" fontId="27" numFmtId="0" xfId="0" applyAlignment="1" applyBorder="1" applyFill="1" applyFont="1">
      <alignment horizontal="center" vertical="bottom"/>
    </xf>
    <xf borderId="4" fillId="0" fontId="30" numFmtId="164" xfId="0" applyAlignment="1" applyBorder="1" applyFont="1" applyNumberFormat="1">
      <alignment horizontal="center" readingOrder="0" vertical="center"/>
    </xf>
    <xf borderId="1" fillId="8" fontId="16" numFmtId="0" xfId="0" applyAlignment="1" applyBorder="1" applyFont="1">
      <alignment horizontal="center" readingOrder="0" shrinkToFit="0" vertical="center" wrapText="1"/>
    </xf>
    <xf borderId="1" fillId="0" fontId="16" numFmtId="167" xfId="0" applyAlignment="1" applyBorder="1" applyFont="1" applyNumberFormat="1">
      <alignment horizontal="center" readingOrder="0" vertical="center"/>
    </xf>
    <xf borderId="1" fillId="0" fontId="16" numFmtId="168" xfId="0" applyAlignment="1" applyBorder="1" applyFont="1" applyNumberFormat="1">
      <alignment horizontal="center" readingOrder="0" vertical="center"/>
    </xf>
    <xf borderId="4" fillId="32" fontId="17" numFmtId="0" xfId="0" applyAlignment="1" applyBorder="1" applyFill="1" applyFont="1">
      <alignment horizontal="center" readingOrder="0" vertical="center"/>
    </xf>
    <xf borderId="4" fillId="16" fontId="16" numFmtId="3" xfId="0" applyAlignment="1" applyBorder="1" applyFont="1" applyNumberFormat="1">
      <alignment horizontal="center" readingOrder="0" vertical="center"/>
    </xf>
    <xf borderId="1" fillId="16" fontId="16" numFmtId="0" xfId="0" applyAlignment="1" applyBorder="1" applyFont="1">
      <alignment horizontal="center" readingOrder="0" vertical="center"/>
    </xf>
    <xf borderId="1" fillId="16" fontId="12" numFmtId="167" xfId="0" applyAlignment="1" applyBorder="1" applyFont="1" applyNumberFormat="1">
      <alignment horizontal="center" readingOrder="0" vertical="center"/>
    </xf>
    <xf borderId="1" fillId="16" fontId="12" numFmtId="168" xfId="0" applyAlignment="1" applyBorder="1" applyFont="1" applyNumberFormat="1">
      <alignment horizontal="center" readingOrder="0" vertical="center"/>
    </xf>
    <xf borderId="1" fillId="8" fontId="28" numFmtId="0" xfId="0" applyAlignment="1" applyBorder="1" applyFont="1">
      <alignment horizontal="center" readingOrder="0" vertical="center"/>
    </xf>
    <xf borderId="4" fillId="16" fontId="14" numFmtId="0" xfId="0" applyAlignment="1" applyBorder="1" applyFont="1">
      <alignment horizontal="left" readingOrder="0" vertical="center"/>
    </xf>
    <xf borderId="4" fillId="16" fontId="16" numFmtId="0" xfId="0" applyAlignment="1" applyBorder="1" applyFont="1">
      <alignment horizontal="center" readingOrder="0" vertical="center"/>
    </xf>
    <xf borderId="2" fillId="2" fontId="31" numFmtId="0" xfId="0" applyAlignment="1" applyBorder="1" applyFont="1">
      <alignment horizontal="center" readingOrder="0" vertical="center"/>
    </xf>
    <xf borderId="1" fillId="13" fontId="21" numFmtId="0" xfId="0" applyAlignment="1" applyBorder="1" applyFont="1">
      <alignment horizontal="center" readingOrder="0" vertical="center"/>
    </xf>
    <xf borderId="5" fillId="33" fontId="23" numFmtId="0" xfId="0" applyAlignment="1" applyBorder="1" applyFill="1" applyFont="1">
      <alignment horizontal="center" readingOrder="0" vertical="center"/>
    </xf>
    <xf borderId="6" fillId="2" fontId="24" numFmtId="0" xfId="0" applyAlignment="1" applyBorder="1" applyFont="1">
      <alignment horizontal="center" readingOrder="0" shrinkToFit="0" vertical="center" wrapText="1"/>
    </xf>
    <xf borderId="7" fillId="34" fontId="32" numFmtId="0" xfId="0" applyAlignment="1" applyBorder="1" applyFill="1" applyFont="1">
      <alignment horizontal="center" readingOrder="0" vertical="center"/>
    </xf>
    <xf borderId="8" fillId="0" fontId="7" numFmtId="0" xfId="0" applyBorder="1" applyFont="1"/>
    <xf borderId="4" fillId="10" fontId="33" numFmtId="0" xfId="0" applyAlignment="1" applyBorder="1" applyFont="1">
      <alignment horizontal="center" readingOrder="0" vertical="center"/>
    </xf>
    <xf borderId="9" fillId="3" fontId="26" numFmtId="0" xfId="0" applyAlignment="1" applyBorder="1" applyFont="1">
      <alignment horizontal="center" readingOrder="0"/>
    </xf>
    <xf borderId="0" fillId="3" fontId="13" numFmtId="0" xfId="0" applyAlignment="1" applyFont="1">
      <alignment horizontal="center" readingOrder="0"/>
    </xf>
    <xf borderId="1" fillId="3" fontId="13" numFmtId="0" xfId="0" applyAlignment="1" applyBorder="1" applyFont="1">
      <alignment horizontal="center" readingOrder="0"/>
    </xf>
    <xf borderId="0" fillId="3" fontId="13" numFmtId="0" xfId="0" applyAlignment="1" applyFont="1">
      <alignment horizontal="center"/>
    </xf>
    <xf borderId="10" fillId="13" fontId="16" numFmtId="0" xfId="0" applyAlignment="1" applyBorder="1" applyFont="1">
      <alignment horizontal="center" readingOrder="0"/>
    </xf>
    <xf borderId="11" fillId="8" fontId="12" numFmtId="0" xfId="0" applyAlignment="1" applyBorder="1" applyFont="1">
      <alignment horizontal="center" readingOrder="0" vertical="bottom"/>
    </xf>
    <xf borderId="10" fillId="20" fontId="16" numFmtId="0" xfId="0" applyAlignment="1" applyBorder="1" applyFont="1">
      <alignment horizontal="center" readingOrder="0"/>
    </xf>
    <xf borderId="0" fillId="3" fontId="11" numFmtId="0" xfId="0" applyAlignment="1" applyFont="1">
      <alignment vertical="bottom"/>
    </xf>
    <xf borderId="5" fillId="33" fontId="34" numFmtId="0" xfId="0" applyAlignment="1" applyBorder="1" applyFont="1">
      <alignment horizontal="center" readingOrder="0"/>
    </xf>
    <xf borderId="5" fillId="33" fontId="34" numFmtId="3" xfId="0" applyAlignment="1" applyBorder="1" applyFont="1" applyNumberFormat="1">
      <alignment horizontal="center"/>
    </xf>
    <xf borderId="0" fillId="3" fontId="10" numFmtId="0" xfId="0" applyAlignment="1" applyFont="1">
      <alignment horizontal="center"/>
    </xf>
    <xf borderId="4" fillId="13" fontId="19" numFmtId="0" xfId="0" applyAlignment="1" applyBorder="1" applyFont="1">
      <alignment horizontal="center" readingOrder="0" vertical="center"/>
    </xf>
    <xf borderId="1" fillId="3" fontId="12" numFmtId="169" xfId="0" applyAlignment="1" applyBorder="1" applyFont="1" applyNumberFormat="1">
      <alignment horizontal="center" readingOrder="0" vertical="center"/>
    </xf>
    <xf borderId="1" fillId="3" fontId="16" numFmtId="168" xfId="0" applyAlignment="1" applyBorder="1" applyFont="1" applyNumberFormat="1">
      <alignment horizontal="center" readingOrder="0" vertical="center"/>
    </xf>
    <xf borderId="12" fillId="13" fontId="16" numFmtId="0" xfId="0" applyAlignment="1" applyBorder="1" applyFont="1">
      <alignment horizontal="center" readingOrder="0"/>
    </xf>
    <xf borderId="3" fillId="8" fontId="12" numFmtId="0" xfId="0" applyAlignment="1" applyBorder="1" applyFont="1">
      <alignment horizontal="center" readingOrder="0" vertical="bottom"/>
    </xf>
    <xf borderId="12" fillId="20" fontId="16" numFmtId="0" xfId="0" applyAlignment="1" applyBorder="1" applyFont="1">
      <alignment horizontal="center" readingOrder="0"/>
    </xf>
    <xf borderId="5" fillId="3" fontId="11" numFmtId="0" xfId="0" applyAlignment="1" applyBorder="1" applyFont="1">
      <alignment horizontal="center" vertical="bottom"/>
    </xf>
    <xf borderId="5" fillId="20" fontId="10" numFmtId="3" xfId="0" applyAlignment="1" applyBorder="1" applyFont="1" applyNumberFormat="1">
      <alignment horizontal="center" vertical="bottom"/>
    </xf>
    <xf borderId="1" fillId="3" fontId="11" numFmtId="0" xfId="0" applyAlignment="1" applyBorder="1" applyFont="1">
      <alignment readingOrder="0" shrinkToFit="0" vertical="bottom" wrapText="1"/>
    </xf>
    <xf borderId="1" fillId="12" fontId="12" numFmtId="0" xfId="0" applyAlignment="1" applyBorder="1" applyFont="1">
      <alignment horizontal="center" vertical="bottom"/>
    </xf>
    <xf borderId="1" fillId="3" fontId="12" numFmtId="0" xfId="0" applyAlignment="1" applyBorder="1" applyFont="1">
      <alignment horizontal="center" vertical="bottom"/>
    </xf>
    <xf borderId="4" fillId="3" fontId="30" numFmtId="164" xfId="0" applyAlignment="1" applyBorder="1" applyFont="1" applyNumberFormat="1">
      <alignment horizontal="center" readingOrder="0" vertical="center"/>
    </xf>
    <xf borderId="1" fillId="3" fontId="12" numFmtId="3" xfId="0" applyAlignment="1" applyBorder="1" applyFont="1" applyNumberFormat="1">
      <alignment horizontal="center" vertical="bottom"/>
    </xf>
    <xf borderId="1" fillId="3" fontId="12" numFmtId="167" xfId="0" applyAlignment="1" applyBorder="1" applyFont="1" applyNumberFormat="1">
      <alignment horizontal="center" readingOrder="0" vertical="center"/>
    </xf>
    <xf borderId="12" fillId="13" fontId="16" numFmtId="0" xfId="0" applyAlignment="1" applyBorder="1" applyFont="1">
      <alignment horizontal="center" readingOrder="0" vertical="bottom"/>
    </xf>
    <xf borderId="3" fillId="8" fontId="12" numFmtId="0" xfId="0" applyAlignment="1" applyBorder="1" applyFont="1">
      <alignment horizontal="center" readingOrder="0"/>
    </xf>
    <xf borderId="12" fillId="20" fontId="16" numFmtId="0" xfId="0" applyAlignment="1" applyBorder="1" applyFont="1">
      <alignment horizontal="center" readingOrder="0" vertical="bottom"/>
    </xf>
    <xf borderId="0" fillId="3" fontId="11" numFmtId="0" xfId="0" applyAlignment="1" applyFont="1">
      <alignment readingOrder="0"/>
    </xf>
    <xf borderId="0" fillId="3" fontId="10" numFmtId="0" xfId="0" applyAlignment="1" applyFont="1">
      <alignment horizontal="center" vertical="bottom"/>
    </xf>
    <xf borderId="1" fillId="3" fontId="11" numFmtId="0" xfId="0" applyAlignment="1" applyBorder="1" applyFont="1">
      <alignment readingOrder="0" vertical="bottom"/>
    </xf>
    <xf borderId="1" fillId="35" fontId="12" numFmtId="0" xfId="0" applyAlignment="1" applyBorder="1" applyFill="1" applyFont="1">
      <alignment horizontal="center" readingOrder="0" vertical="bottom"/>
    </xf>
    <xf borderId="1" fillId="3" fontId="12" numFmtId="0" xfId="0" applyAlignment="1" applyBorder="1" applyFont="1">
      <alignment horizontal="center" readingOrder="0" vertical="bottom"/>
    </xf>
    <xf borderId="1" fillId="3" fontId="12" numFmtId="164" xfId="0" applyAlignment="1" applyBorder="1" applyFont="1" applyNumberFormat="1">
      <alignment horizontal="center" readingOrder="0" vertical="bottom"/>
    </xf>
    <xf borderId="1" fillId="3" fontId="12" numFmtId="0" xfId="0" applyAlignment="1" applyBorder="1" applyFont="1">
      <alignment horizontal="center" readingOrder="0"/>
    </xf>
    <xf borderId="12" fillId="3" fontId="16" numFmtId="0" xfId="0" applyAlignment="1" applyBorder="1" applyFont="1">
      <alignment horizontal="center" readingOrder="0" vertical="bottom"/>
    </xf>
    <xf borderId="3" fillId="3" fontId="12" numFmtId="0" xfId="0" applyAlignment="1" applyBorder="1" applyFont="1">
      <alignment horizontal="center" readingOrder="0" vertical="bottom"/>
    </xf>
    <xf borderId="12" fillId="3" fontId="16" numFmtId="0" xfId="0" applyAlignment="1" applyBorder="1" applyFont="1">
      <alignment horizontal="center" vertical="bottom"/>
    </xf>
    <xf borderId="4" fillId="31" fontId="20" numFmtId="0" xfId="0" applyAlignment="1" applyBorder="1" applyFont="1">
      <alignment horizontal="center" readingOrder="0" vertical="center"/>
    </xf>
    <xf borderId="3" fillId="3" fontId="12" numFmtId="0" xfId="0" applyAlignment="1" applyBorder="1" applyFont="1">
      <alignment horizontal="center" readingOrder="0"/>
    </xf>
    <xf borderId="12" fillId="3" fontId="16" numFmtId="0" xfId="0" applyAlignment="1" applyBorder="1" applyFont="1">
      <alignment horizontal="center"/>
    </xf>
    <xf borderId="0" fillId="3" fontId="12" numFmtId="0" xfId="0" applyFont="1"/>
    <xf borderId="5" fillId="3" fontId="11" numFmtId="164" xfId="0" applyAlignment="1" applyBorder="1" applyFont="1" applyNumberFormat="1">
      <alignment horizontal="center" vertical="bottom"/>
    </xf>
    <xf borderId="0" fillId="3" fontId="12" numFmtId="164" xfId="0" applyFont="1" applyNumberFormat="1"/>
    <xf borderId="4" fillId="3" fontId="30" numFmtId="164" xfId="0" applyAlignment="1" applyBorder="1" applyFont="1" applyNumberFormat="1">
      <alignment horizontal="center" readingOrder="0"/>
    </xf>
    <xf borderId="1" fillId="3" fontId="17" numFmtId="170" xfId="0" applyAlignment="1" applyBorder="1" applyFont="1" applyNumberFormat="1">
      <alignment horizontal="center" readingOrder="0" vertical="center"/>
    </xf>
    <xf borderId="12" fillId="0" fontId="26" numFmtId="0" xfId="0" applyAlignment="1" applyBorder="1" applyFont="1">
      <alignment horizontal="center" readingOrder="0"/>
    </xf>
    <xf borderId="3" fillId="0" fontId="13" numFmtId="0" xfId="0" applyAlignment="1" applyBorder="1" applyFont="1">
      <alignment horizontal="center" readingOrder="0"/>
    </xf>
    <xf borderId="12" fillId="0" fontId="26" numFmtId="0" xfId="0" applyAlignment="1" applyBorder="1" applyFont="1">
      <alignment horizontal="center"/>
    </xf>
    <xf borderId="4" fillId="36" fontId="15" numFmtId="0" xfId="0" applyAlignment="1" applyBorder="1" applyFill="1" applyFont="1">
      <alignment horizontal="center" readingOrder="0" vertical="center"/>
    </xf>
    <xf borderId="1" fillId="3" fontId="16" numFmtId="167" xfId="0" applyAlignment="1" applyBorder="1" applyFont="1" applyNumberFormat="1">
      <alignment horizontal="center" readingOrder="0" vertical="center"/>
    </xf>
    <xf borderId="12" fillId="13" fontId="26" numFmtId="0" xfId="0" applyAlignment="1" applyBorder="1" applyFont="1">
      <alignment horizontal="center" readingOrder="0"/>
    </xf>
    <xf borderId="3" fillId="8" fontId="13" numFmtId="0" xfId="0" applyAlignment="1" applyBorder="1" applyFont="1">
      <alignment horizontal="center" readingOrder="0"/>
    </xf>
    <xf borderId="12" fillId="20" fontId="26" numFmtId="0" xfId="0" applyAlignment="1" applyBorder="1" applyFont="1">
      <alignment horizontal="center"/>
    </xf>
    <xf borderId="5" fillId="0" fontId="11" numFmtId="0" xfId="0" applyAlignment="1" applyBorder="1" applyFont="1">
      <alignment horizontal="center" vertical="bottom"/>
    </xf>
    <xf borderId="4" fillId="10" fontId="35" numFmtId="0" xfId="0" applyAlignment="1" applyBorder="1" applyFont="1">
      <alignment horizontal="center" readingOrder="0"/>
    </xf>
    <xf borderId="1" fillId="0" fontId="26" numFmtId="0" xfId="0" applyAlignment="1" applyBorder="1" applyFont="1">
      <alignment horizontal="center" readingOrder="0"/>
    </xf>
    <xf borderId="4" fillId="0" fontId="30" numFmtId="164" xfId="0" applyAlignment="1" applyBorder="1" applyFont="1" applyNumberFormat="1">
      <alignment horizontal="center" readingOrder="0"/>
    </xf>
    <xf borderId="1" fillId="3" fontId="17" numFmtId="49" xfId="0" applyAlignment="1" applyBorder="1" applyFont="1" applyNumberFormat="1">
      <alignment horizontal="center" readingOrder="0" vertical="center"/>
    </xf>
    <xf borderId="1" fillId="3" fontId="17" numFmtId="168" xfId="0" applyAlignment="1" applyBorder="1" applyFont="1" applyNumberFormat="1">
      <alignment horizontal="center" readingOrder="0" vertical="center"/>
    </xf>
    <xf borderId="4" fillId="21" fontId="12" numFmtId="0" xfId="0" applyAlignment="1" applyBorder="1" applyFont="1">
      <alignment horizontal="center" readingOrder="0" vertical="bottom"/>
    </xf>
    <xf borderId="4" fillId="0" fontId="26" numFmtId="0" xfId="0" applyAlignment="1" applyBorder="1" applyFont="1">
      <alignment horizontal="center" readingOrder="0"/>
    </xf>
    <xf borderId="4" fillId="0" fontId="12" numFmtId="3" xfId="0" applyAlignment="1" applyBorder="1" applyFont="1" applyNumberFormat="1">
      <alignment horizontal="center" readingOrder="0" vertical="bottom"/>
    </xf>
    <xf borderId="13" fillId="13" fontId="26" numFmtId="0" xfId="0" applyAlignment="1" applyBorder="1" applyFont="1">
      <alignment horizontal="center"/>
    </xf>
    <xf borderId="14" fillId="8" fontId="13" numFmtId="0" xfId="0" applyAlignment="1" applyBorder="1" applyFont="1">
      <alignment horizontal="center" readingOrder="0"/>
    </xf>
    <xf borderId="13" fillId="20" fontId="26" numFmtId="0" xfId="0" applyAlignment="1" applyBorder="1" applyFont="1">
      <alignment horizontal="center"/>
    </xf>
    <xf borderId="4" fillId="37" fontId="17" numFmtId="0" xfId="0" applyAlignment="1" applyBorder="1" applyFill="1" applyFont="1">
      <alignment horizontal="center" readingOrder="0" vertical="center"/>
    </xf>
    <xf borderId="1" fillId="3" fontId="12" numFmtId="0" xfId="0" applyAlignment="1" applyBorder="1" applyFont="1">
      <alignment horizontal="center" readingOrder="0" vertical="center"/>
    </xf>
    <xf borderId="1" fillId="3" fontId="16" numFmtId="171" xfId="0" applyAlignment="1" applyBorder="1" applyFont="1" applyNumberFormat="1">
      <alignment horizontal="center" readingOrder="0" vertical="center"/>
    </xf>
    <xf borderId="15" fillId="0" fontId="36" numFmtId="0" xfId="0" applyAlignment="1" applyBorder="1" applyFont="1">
      <alignment horizontal="center"/>
    </xf>
    <xf borderId="16" fillId="0" fontId="36" numFmtId="0" xfId="0" applyAlignment="1" applyBorder="1" applyFont="1">
      <alignment horizontal="center" readingOrder="0"/>
    </xf>
    <xf borderId="5" fillId="0" fontId="11" numFmtId="0" xfId="0" applyAlignment="1" applyBorder="1" applyFont="1">
      <alignment horizontal="center" vertical="bottom"/>
    </xf>
    <xf borderId="5" fillId="20" fontId="12" numFmtId="0" xfId="0" applyAlignment="1" applyBorder="1" applyFont="1">
      <alignment vertical="bottom"/>
    </xf>
    <xf borderId="4" fillId="0" fontId="12" numFmtId="0" xfId="0" applyAlignment="1" applyBorder="1" applyFont="1">
      <alignment horizontal="center" readingOrder="0" vertical="bottom"/>
    </xf>
    <xf borderId="1" fillId="21" fontId="12" numFmtId="0" xfId="0" applyAlignment="1" applyBorder="1" applyFont="1">
      <alignment horizontal="center" vertical="bottom"/>
    </xf>
    <xf borderId="1" fillId="0" fontId="12" numFmtId="167" xfId="0" applyAlignment="1" applyBorder="1" applyFont="1" applyNumberFormat="1">
      <alignment horizontal="center" readingOrder="0" vertical="center"/>
    </xf>
    <xf borderId="1" fillId="0" fontId="12" numFmtId="168" xfId="0" applyAlignment="1" applyBorder="1" applyFont="1" applyNumberFormat="1">
      <alignment horizontal="center" readingOrder="0" vertical="center"/>
    </xf>
    <xf borderId="0" fillId="3" fontId="13" numFmtId="0" xfId="0" applyFont="1"/>
    <xf borderId="4" fillId="10" fontId="20" numFmtId="0" xfId="0" applyAlignment="1" applyBorder="1" applyFont="1">
      <alignment horizontal="center" readingOrder="0"/>
    </xf>
    <xf borderId="0" fillId="3" fontId="13" numFmtId="0" xfId="0" applyAlignment="1" applyFont="1">
      <alignment readingOrder="0"/>
    </xf>
    <xf borderId="4" fillId="19" fontId="20" numFmtId="0" xfId="0" applyAlignment="1" applyBorder="1" applyFont="1">
      <alignment horizontal="center" readingOrder="0"/>
    </xf>
    <xf borderId="4" fillId="15" fontId="19" numFmtId="0" xfId="0" applyAlignment="1" applyBorder="1" applyFont="1">
      <alignment horizontal="center" readingOrder="0" vertical="center"/>
    </xf>
    <xf borderId="4" fillId="7" fontId="17" numFmtId="0" xfId="0" applyAlignment="1" applyBorder="1" applyFont="1">
      <alignment horizontal="center" readingOrder="0" vertical="center"/>
    </xf>
    <xf borderId="4" fillId="3" fontId="11" numFmtId="0" xfId="0" applyAlignment="1" applyBorder="1" applyFont="1">
      <alignment readingOrder="0"/>
    </xf>
    <xf borderId="4" fillId="3" fontId="20" numFmtId="0" xfId="0" applyAlignment="1" applyBorder="1" applyFont="1">
      <alignment horizontal="center" readingOrder="0"/>
    </xf>
    <xf borderId="4" fillId="3" fontId="10" numFmtId="164" xfId="0" applyAlignment="1" applyBorder="1" applyFont="1" applyNumberFormat="1">
      <alignment horizontal="center" readingOrder="0" vertical="center"/>
    </xf>
    <xf borderId="1" fillId="3" fontId="12" numFmtId="168" xfId="0" applyAlignment="1" applyBorder="1" applyFont="1" applyNumberFormat="1">
      <alignment horizontal="center" readingOrder="0" vertical="center"/>
    </xf>
    <xf borderId="4" fillId="3" fontId="12" numFmtId="0" xfId="0" applyAlignment="1" applyBorder="1" applyFont="1">
      <alignment horizontal="center" readingOrder="0" vertical="center"/>
    </xf>
    <xf borderId="4" fillId="3" fontId="19" numFmtId="0" xfId="0" applyAlignment="1" applyBorder="1" applyFont="1">
      <alignment horizontal="center" readingOrder="0" vertical="center"/>
    </xf>
    <xf borderId="1" fillId="3" fontId="13" numFmtId="0" xfId="0" applyAlignment="1" applyBorder="1" applyFont="1">
      <alignment horizontal="center"/>
    </xf>
    <xf borderId="4" fillId="3" fontId="19" numFmtId="0" xfId="0" applyAlignment="1" applyBorder="1" applyFont="1">
      <alignment horizontal="center" readingOrder="0"/>
    </xf>
    <xf borderId="1" fillId="3" fontId="19" numFmtId="0" xfId="0" applyAlignment="1" applyBorder="1" applyFont="1">
      <alignment horizontal="center" readingOrder="0"/>
    </xf>
    <xf borderId="4" fillId="3" fontId="10" numFmtId="164" xfId="0" applyAlignment="1" applyBorder="1" applyFont="1" applyNumberFormat="1">
      <alignment horizontal="center" readingOrder="0"/>
    </xf>
    <xf borderId="4" fillId="3" fontId="20" numFmtId="0" xfId="0" applyAlignment="1" applyBorder="1" applyFont="1">
      <alignment horizontal="center" readingOrder="0" vertical="center"/>
    </xf>
    <xf borderId="4" fillId="3" fontId="37" numFmtId="164" xfId="0" applyAlignment="1" applyBorder="1" applyFont="1" applyNumberFormat="1">
      <alignment horizontal="center" readingOrder="0"/>
    </xf>
    <xf borderId="17" fillId="3" fontId="11" numFmtId="0" xfId="0" applyAlignment="1" applyBorder="1" applyFont="1">
      <alignment horizontal="center" readingOrder="0" vertical="center"/>
    </xf>
    <xf borderId="0" fillId="3" fontId="36" numFmtId="0" xfId="0" applyAlignment="1" applyFont="1">
      <alignment readingOrder="0"/>
    </xf>
    <xf borderId="4" fillId="3" fontId="15" numFmtId="0" xfId="0" applyAlignment="1" applyBorder="1" applyFont="1">
      <alignment horizontal="center" readingOrder="0" vertical="center"/>
    </xf>
    <xf borderId="1" fillId="3" fontId="13" numFmtId="0" xfId="0" applyAlignment="1" applyBorder="1" applyFont="1">
      <alignment horizontal="center" readingOrder="0" vertical="center"/>
    </xf>
    <xf borderId="0" fillId="3" fontId="16" numFmtId="0" xfId="0" applyAlignment="1" applyFont="1">
      <alignment horizontal="center" readingOrder="0"/>
    </xf>
    <xf borderId="0" fillId="3" fontId="12" numFmtId="0" xfId="0" applyAlignment="1" applyFont="1">
      <alignment horizontal="center" readingOrder="0" vertical="bottom"/>
    </xf>
    <xf borderId="1" fillId="3" fontId="12" numFmtId="168" xfId="0" applyAlignment="1" applyBorder="1" applyFont="1" applyNumberFormat="1">
      <alignment horizontal="center" readingOrder="0" vertical="bottom"/>
    </xf>
    <xf borderId="1" fillId="3" fontId="12" numFmtId="168" xfId="0" applyAlignment="1" applyBorder="1" applyFont="1" applyNumberFormat="1">
      <alignment horizontal="center" readingOrder="0"/>
    </xf>
    <xf borderId="0" fillId="3" fontId="16" numFmtId="0" xfId="0" applyAlignment="1" applyFont="1">
      <alignment horizontal="center" readingOrder="0" vertical="bottom"/>
    </xf>
    <xf borderId="0" fillId="3" fontId="12" numFmtId="0" xfId="0" applyAlignment="1" applyFont="1">
      <alignment horizontal="center" readingOrder="0"/>
    </xf>
    <xf borderId="0" fillId="3" fontId="16" numFmtId="0" xfId="0" applyAlignment="1" applyFont="1">
      <alignment horizontal="center" vertical="bottom"/>
    </xf>
    <xf borderId="0" fillId="3" fontId="16" numFmtId="0" xfId="0" applyAlignment="1" applyFont="1">
      <alignment horizontal="center" vertical="bottom"/>
    </xf>
    <xf borderId="0" fillId="3" fontId="16" numFmtId="0" xfId="0" applyAlignment="1" applyFont="1">
      <alignment horizontal="center"/>
    </xf>
    <xf borderId="0" fillId="3" fontId="26" numFmtId="0" xfId="0" applyAlignment="1" applyFont="1">
      <alignment horizontal="center"/>
    </xf>
    <xf borderId="1" fillId="3" fontId="16" numFmtId="0" xfId="0" applyAlignment="1" applyBorder="1" applyFont="1">
      <alignment horizontal="center" readingOrder="0" vertical="center"/>
    </xf>
    <xf borderId="0" fillId="3" fontId="36" numFmtId="0" xfId="0" applyAlignment="1" applyFont="1">
      <alignment horizontal="center"/>
    </xf>
    <xf borderId="0" fillId="3" fontId="36" numFmtId="0" xfId="0" applyAlignment="1" applyFont="1">
      <alignment horizontal="center" readingOrder="0"/>
    </xf>
    <xf borderId="4" fillId="3" fontId="38" numFmtId="0" xfId="0" applyAlignment="1" applyBorder="1" applyFont="1">
      <alignment horizontal="center" readingOrder="0" vertical="center"/>
    </xf>
    <xf borderId="4" fillId="3" fontId="11" numFmtId="0" xfId="0" applyBorder="1" applyFont="1"/>
    <xf borderId="1" fillId="3" fontId="12" numFmtId="0" xfId="0" applyAlignment="1" applyBorder="1" applyFont="1">
      <alignment horizontal="center"/>
    </xf>
    <xf borderId="4" fillId="3" fontId="10" numFmtId="164" xfId="0" applyAlignment="1" applyBorder="1" applyFont="1" applyNumberFormat="1">
      <alignment horizontal="center"/>
    </xf>
    <xf borderId="4" fillId="3" fontId="12" numFmtId="3" xfId="0" applyAlignment="1" applyBorder="1" applyFont="1" applyNumberFormat="1">
      <alignment horizontal="center"/>
    </xf>
    <xf borderId="1" fillId="3" fontId="11" numFmtId="0" xfId="0" applyAlignment="1" applyBorder="1" applyFont="1">
      <alignment readingOrder="0"/>
    </xf>
    <xf borderId="1" fillId="3" fontId="10" numFmtId="164" xfId="0" applyAlignment="1" applyBorder="1" applyFont="1" applyNumberFormat="1">
      <alignment horizontal="center" readingOrder="0"/>
    </xf>
    <xf borderId="1" fillId="3" fontId="30" numFmtId="164" xfId="0" applyAlignment="1" applyBorder="1" applyFont="1" applyNumberFormat="1">
      <alignment horizontal="center" readingOrder="0"/>
    </xf>
    <xf borderId="1" fillId="3" fontId="12" numFmtId="3" xfId="0" applyAlignment="1" applyBorder="1" applyFont="1" applyNumberFormat="1">
      <alignment horizontal="center" readingOrder="0"/>
    </xf>
    <xf borderId="18" fillId="3" fontId="11" numFmtId="0" xfId="0" applyAlignment="1" applyBorder="1" applyFont="1">
      <alignment readingOrder="0" vertical="center"/>
    </xf>
    <xf borderId="18" fillId="3" fontId="20" numFmtId="0" xfId="0" applyAlignment="1" applyBorder="1" applyFont="1">
      <alignment horizontal="center" readingOrder="0" vertical="center"/>
    </xf>
    <xf borderId="9" fillId="3" fontId="12" numFmtId="0" xfId="0" applyAlignment="1" applyBorder="1" applyFont="1">
      <alignment horizontal="center" readingOrder="0" vertical="center"/>
    </xf>
    <xf borderId="18" fillId="3" fontId="37" numFmtId="164" xfId="0" applyAlignment="1" applyBorder="1" applyFont="1" applyNumberFormat="1">
      <alignment horizontal="center" readingOrder="0"/>
    </xf>
    <xf borderId="18" fillId="3" fontId="10" numFmtId="164" xfId="0" applyAlignment="1" applyBorder="1" applyFont="1" applyNumberFormat="1">
      <alignment horizontal="center" readingOrder="0" vertical="center"/>
    </xf>
    <xf borderId="18" fillId="3" fontId="12" numFmtId="3" xfId="0" applyAlignment="1" applyBorder="1" applyFont="1" applyNumberFormat="1">
      <alignment horizontal="center" readingOrder="0" vertical="center"/>
    </xf>
    <xf borderId="9" fillId="3" fontId="16" numFmtId="0" xfId="0" applyAlignment="1" applyBorder="1" applyFont="1">
      <alignment horizontal="center" readingOrder="0" vertical="center"/>
    </xf>
    <xf borderId="9" fillId="3" fontId="16" numFmtId="168" xfId="0" applyAlignment="1" applyBorder="1" applyFont="1" applyNumberFormat="1">
      <alignment horizontal="center" readingOrder="0" vertical="center"/>
    </xf>
    <xf borderId="9" fillId="3" fontId="11" numFmtId="0" xfId="0" applyAlignment="1" applyBorder="1" applyFont="1">
      <alignment horizontal="center" readingOrder="0" vertical="center"/>
    </xf>
    <xf borderId="7" fillId="13" fontId="10" numFmtId="0" xfId="0" applyAlignment="1" applyBorder="1" applyFont="1">
      <alignment horizontal="center" readingOrder="0"/>
    </xf>
    <xf borderId="6" fillId="0" fontId="7" numFmtId="0" xfId="0" applyBorder="1" applyFont="1"/>
    <xf borderId="17" fillId="5" fontId="10" numFmtId="0" xfId="0" applyAlignment="1" applyBorder="1" applyFont="1">
      <alignment horizontal="center" readingOrder="0" vertical="center"/>
    </xf>
    <xf borderId="17" fillId="3" fontId="11" numFmtId="0" xfId="0" applyAlignment="1" applyBorder="1" applyFont="1">
      <alignment readingOrder="0"/>
    </xf>
    <xf borderId="17" fillId="14" fontId="20" numFmtId="0" xfId="0" applyAlignment="1" applyBorder="1" applyFont="1">
      <alignment horizontal="center" readingOrder="0"/>
    </xf>
    <xf borderId="17" fillId="3" fontId="12" numFmtId="0" xfId="0" applyAlignment="1" applyBorder="1" applyFont="1">
      <alignment horizontal="center" readingOrder="0"/>
    </xf>
    <xf borderId="17" fillId="6" fontId="10" numFmtId="164" xfId="0" applyAlignment="1" applyBorder="1" applyFont="1" applyNumberFormat="1">
      <alignment horizontal="center" readingOrder="0"/>
    </xf>
    <xf borderId="17" fillId="3" fontId="30" numFmtId="164" xfId="0" applyAlignment="1" applyBorder="1" applyFont="1" applyNumberFormat="1">
      <alignment horizontal="center" readingOrder="0"/>
    </xf>
    <xf borderId="17" fillId="3" fontId="12" numFmtId="3" xfId="0" applyAlignment="1" applyBorder="1" applyFont="1" applyNumberFormat="1">
      <alignment horizontal="center" readingOrder="0"/>
    </xf>
    <xf borderId="17" fillId="3" fontId="16" numFmtId="0" xfId="0" applyAlignment="1" applyBorder="1" applyFont="1">
      <alignment horizontal="center" readingOrder="0" vertical="center"/>
    </xf>
    <xf borderId="17" fillId="3" fontId="12" numFmtId="168" xfId="0" applyAlignment="1" applyBorder="1" applyFont="1" applyNumberFormat="1">
      <alignment horizontal="center" readingOrder="0" vertical="center"/>
    </xf>
    <xf borderId="17" fillId="9" fontId="11" numFmtId="0" xfId="0" applyAlignment="1" applyBorder="1" applyFont="1">
      <alignment horizontal="center" readingOrder="0" vertical="center"/>
    </xf>
    <xf borderId="4" fillId="38" fontId="19" numFmtId="0" xfId="0" applyAlignment="1" applyBorder="1" applyFill="1" applyFont="1">
      <alignment horizontal="center" readingOrder="0"/>
    </xf>
    <xf borderId="4" fillId="5" fontId="37" numFmtId="164" xfId="0" applyAlignment="1" applyBorder="1" applyFont="1" applyNumberFormat="1">
      <alignment horizontal="center" readingOrder="0"/>
    </xf>
    <xf borderId="4" fillId="0" fontId="16" numFmtId="3" xfId="0" applyAlignment="1" applyBorder="1" applyFont="1" applyNumberFormat="1">
      <alignment horizontal="center" readingOrder="0" vertical="center"/>
    </xf>
    <xf borderId="4" fillId="39" fontId="17" numFmtId="0" xfId="0" applyAlignment="1" applyBorder="1" applyFill="1" applyFont="1">
      <alignment horizontal="center" readingOrder="0" vertical="center"/>
    </xf>
    <xf borderId="4" fillId="30" fontId="20" numFmtId="0" xfId="0" applyAlignment="1" applyBorder="1" applyFont="1">
      <alignment horizontal="center" readingOrder="0"/>
    </xf>
    <xf borderId="1" fillId="34" fontId="11" numFmtId="0" xfId="0" applyAlignment="1" applyBorder="1" applyFont="1">
      <alignment horizontal="center" readingOrder="0" vertical="center"/>
    </xf>
    <xf borderId="1" fillId="10" fontId="20" numFmtId="0" xfId="0" applyAlignment="1" applyBorder="1" applyFont="1">
      <alignment horizontal="center" readingOrder="0"/>
    </xf>
    <xf borderId="1" fillId="6" fontId="10" numFmtId="164" xfId="0" applyAlignment="1" applyBorder="1" applyFont="1" applyNumberFormat="1">
      <alignment horizontal="center" readingOrder="0"/>
    </xf>
    <xf borderId="1" fillId="0" fontId="30" numFmtId="164" xfId="0" applyAlignment="1" applyBorder="1" applyFont="1" applyNumberFormat="1">
      <alignment horizontal="center" readingOrder="0"/>
    </xf>
    <xf borderId="4" fillId="16" fontId="12" numFmtId="0" xfId="0" applyAlignment="1" applyBorder="1" applyFont="1">
      <alignment horizontal="center" vertical="center"/>
    </xf>
    <xf borderId="4" fillId="3" fontId="11" numFmtId="0" xfId="0" applyAlignment="1" applyBorder="1" applyFont="1">
      <alignment vertical="bottom"/>
    </xf>
    <xf borderId="4" fillId="3" fontId="12" numFmtId="0" xfId="0" applyAlignment="1" applyBorder="1" applyFont="1">
      <alignment horizontal="center" vertical="bottom"/>
    </xf>
    <xf borderId="4" fillId="12" fontId="19" numFmtId="0" xfId="0" applyAlignment="1" applyBorder="1" applyFont="1">
      <alignment horizontal="center" readingOrder="0"/>
    </xf>
    <xf borderId="4" fillId="6" fontId="17" numFmtId="0" xfId="0" applyAlignment="1" applyBorder="1" applyFont="1">
      <alignment horizontal="center" readingOrder="0" vertical="center"/>
    </xf>
    <xf borderId="1" fillId="30" fontId="20" numFmtId="0" xfId="0" applyAlignment="1" applyBorder="1" applyFont="1">
      <alignment horizontal="center" readingOrder="0"/>
    </xf>
    <xf borderId="1" fillId="13" fontId="19" numFmtId="0" xfId="0" applyAlignment="1" applyBorder="1" applyFont="1">
      <alignment horizontal="center" readingOrder="0"/>
    </xf>
    <xf borderId="1" fillId="3" fontId="11" numFmtId="0" xfId="0" applyAlignment="1" applyBorder="1" applyFont="1">
      <alignment vertical="bottom"/>
    </xf>
    <xf borderId="1" fillId="14" fontId="20" numFmtId="0" xfId="0" applyAlignment="1" applyBorder="1" applyFont="1">
      <alignment horizontal="center" vertical="bottom"/>
    </xf>
    <xf borderId="1" fillId="4" fontId="10" numFmtId="164" xfId="0" applyAlignment="1" applyBorder="1" applyFont="1" applyNumberFormat="1">
      <alignment horizontal="center" vertical="bottom"/>
    </xf>
    <xf borderId="1" fillId="3" fontId="10" numFmtId="172" xfId="0" applyAlignment="1" applyBorder="1" applyFont="1" applyNumberFormat="1">
      <alignment horizontal="center" vertical="bottom"/>
    </xf>
    <xf borderId="1" fillId="3" fontId="12" numFmtId="168" xfId="0" applyAlignment="1" applyBorder="1" applyFont="1" applyNumberFormat="1">
      <alignment horizontal="center"/>
    </xf>
    <xf borderId="1" fillId="9" fontId="11" numFmtId="0" xfId="0" applyAlignment="1" applyBorder="1" applyFont="1">
      <alignment horizontal="center" readingOrder="0"/>
    </xf>
    <xf borderId="1" fillId="6" fontId="12" numFmtId="0" xfId="0" applyAlignment="1" applyBorder="1" applyFont="1">
      <alignment horizontal="center"/>
    </xf>
    <xf borderId="1" fillId="4" fontId="10" numFmtId="164" xfId="0" applyAlignment="1" applyBorder="1" applyFont="1" applyNumberFormat="1">
      <alignment horizontal="center"/>
    </xf>
    <xf borderId="1" fillId="30" fontId="15" numFmtId="0" xfId="0" applyAlignment="1" applyBorder="1" applyFont="1">
      <alignment horizontal="center" readingOrder="0" vertical="center"/>
    </xf>
    <xf borderId="1" fillId="4" fontId="10" numFmtId="164" xfId="0" applyAlignment="1" applyBorder="1" applyFont="1" applyNumberFormat="1">
      <alignment horizontal="center" readingOrder="0" vertical="bottom"/>
    </xf>
    <xf borderId="9" fillId="3" fontId="11" numFmtId="0" xfId="0" applyAlignment="1" applyBorder="1" applyFont="1">
      <alignment vertical="bottom"/>
    </xf>
    <xf borderId="9" fillId="3" fontId="12" numFmtId="0" xfId="0" applyAlignment="1" applyBorder="1" applyFont="1">
      <alignment horizontal="center" vertical="bottom"/>
    </xf>
    <xf borderId="9" fillId="4" fontId="10" numFmtId="164" xfId="0" applyAlignment="1" applyBorder="1" applyFont="1" applyNumberFormat="1">
      <alignment horizontal="center" vertical="bottom"/>
    </xf>
    <xf borderId="9" fillId="3" fontId="10" numFmtId="172" xfId="0" applyAlignment="1" applyBorder="1" applyFont="1" applyNumberFormat="1">
      <alignment horizontal="center" vertical="bottom"/>
    </xf>
    <xf borderId="9" fillId="3" fontId="12" numFmtId="0" xfId="0" applyAlignment="1" applyBorder="1" applyFont="1">
      <alignment horizontal="center"/>
    </xf>
    <xf borderId="9" fillId="3" fontId="12" numFmtId="168" xfId="0" applyAlignment="1" applyBorder="1" applyFont="1" applyNumberFormat="1">
      <alignment horizontal="center"/>
    </xf>
    <xf borderId="9" fillId="9" fontId="11" numFmtId="0" xfId="0" applyAlignment="1" applyBorder="1" applyFont="1">
      <alignment horizontal="center" readingOrder="0"/>
    </xf>
    <xf borderId="7" fillId="8" fontId="10" numFmtId="0" xfId="0" applyAlignment="1" applyBorder="1" applyFont="1">
      <alignment horizontal="center" readingOrder="0"/>
    </xf>
    <xf borderId="17" fillId="5" fontId="10" numFmtId="0" xfId="0" applyAlignment="1" applyBorder="1" applyFont="1">
      <alignment horizontal="center" readingOrder="0"/>
    </xf>
    <xf borderId="19" fillId="3" fontId="11" numFmtId="0" xfId="0" applyAlignment="1" applyBorder="1" applyFont="1">
      <alignment readingOrder="0"/>
    </xf>
    <xf borderId="19" fillId="37" fontId="19" numFmtId="0" xfId="0" applyAlignment="1" applyBorder="1" applyFont="1">
      <alignment horizontal="center" readingOrder="0"/>
    </xf>
    <xf borderId="17" fillId="3" fontId="12" numFmtId="0" xfId="0" applyAlignment="1" applyBorder="1" applyFont="1">
      <alignment horizontal="center" readingOrder="0" vertical="center"/>
    </xf>
    <xf borderId="19" fillId="6" fontId="10" numFmtId="164" xfId="0" applyAlignment="1" applyBorder="1" applyFont="1" applyNumberFormat="1">
      <alignment horizontal="center" readingOrder="0"/>
    </xf>
    <xf borderId="19" fillId="3" fontId="30" numFmtId="164" xfId="0" applyAlignment="1" applyBorder="1" applyFont="1" applyNumberFormat="1">
      <alignment horizontal="center" readingOrder="0"/>
    </xf>
    <xf borderId="19" fillId="0" fontId="16" numFmtId="3" xfId="0" applyAlignment="1" applyBorder="1" applyFont="1" applyNumberFormat="1">
      <alignment horizontal="center" readingOrder="0" vertical="center"/>
    </xf>
    <xf borderId="4" fillId="10" fontId="20" numFmtId="0" xfId="0" applyAlignment="1" applyBorder="1" applyFont="1">
      <alignment horizontal="center" readingOrder="0" vertical="center"/>
    </xf>
    <xf borderId="4" fillId="40" fontId="20" numFmtId="0" xfId="0" applyAlignment="1" applyBorder="1" applyFill="1" applyFont="1">
      <alignment horizontal="center" readingOrder="0" vertical="center"/>
    </xf>
    <xf borderId="4" fillId="29" fontId="19" numFmtId="0" xfId="0" applyAlignment="1" applyBorder="1" applyFont="1">
      <alignment horizontal="center" readingOrder="0"/>
    </xf>
    <xf borderId="4" fillId="12" fontId="12" numFmtId="0" xfId="0" applyAlignment="1" applyBorder="1" applyFont="1">
      <alignment horizontal="center" readingOrder="0" vertical="center"/>
    </xf>
    <xf borderId="4" fillId="6" fontId="30" numFmtId="164" xfId="0" applyAlignment="1" applyBorder="1" applyFont="1" applyNumberFormat="1">
      <alignment horizontal="center" readingOrder="0" vertical="center"/>
    </xf>
    <xf borderId="4" fillId="30" fontId="12" numFmtId="0" xfId="0" applyAlignment="1" applyBorder="1" applyFont="1">
      <alignment horizontal="center" readingOrder="0" vertical="center"/>
    </xf>
    <xf borderId="4" fillId="36" fontId="20" numFmtId="0" xfId="0" applyAlignment="1" applyBorder="1" applyFont="1">
      <alignment horizontal="center" readingOrder="0"/>
    </xf>
    <xf borderId="4" fillId="12" fontId="20" numFmtId="0" xfId="0" applyAlignment="1" applyBorder="1" applyFont="1">
      <alignment horizontal="center" readingOrder="0"/>
    </xf>
    <xf borderId="4" fillId="10" fontId="38" numFmtId="0" xfId="0" applyAlignment="1" applyBorder="1" applyFont="1">
      <alignment horizontal="center" readingOrder="0" vertical="center"/>
    </xf>
    <xf borderId="4" fillId="39" fontId="15" numFmtId="0" xfId="0" applyAlignment="1" applyBorder="1" applyFont="1">
      <alignment horizontal="center" readingOrder="0" vertical="center"/>
    </xf>
    <xf borderId="4" fillId="31" fontId="12" numFmtId="0" xfId="0" applyAlignment="1" applyBorder="1" applyFont="1">
      <alignment horizontal="center" readingOrder="0" vertical="center"/>
    </xf>
    <xf borderId="4" fillId="19" fontId="20" numFmtId="0" xfId="0" applyAlignment="1" applyBorder="1" applyFont="1">
      <alignment horizontal="center" readingOrder="0" vertical="center"/>
    </xf>
    <xf borderId="4" fillId="0" fontId="14" numFmtId="0" xfId="0" applyAlignment="1" applyBorder="1" applyFont="1">
      <alignment horizontal="left" readingOrder="0" vertical="center"/>
    </xf>
    <xf borderId="1" fillId="16" fontId="19" numFmtId="0" xfId="0" applyAlignment="1" applyBorder="1" applyFont="1">
      <alignment horizontal="center" readingOrder="0"/>
    </xf>
    <xf borderId="4" fillId="41" fontId="12" numFmtId="0" xfId="0" applyAlignment="1" applyBorder="1" applyFill="1" applyFont="1">
      <alignment horizontal="center" readingOrder="0" vertical="center"/>
    </xf>
    <xf borderId="4" fillId="37" fontId="19" numFmtId="0" xfId="0" applyAlignment="1" applyBorder="1" applyFont="1">
      <alignment horizontal="center" readingOrder="0" vertical="center"/>
    </xf>
    <xf borderId="4" fillId="3" fontId="10" numFmtId="172" xfId="0" applyAlignment="1" applyBorder="1" applyFont="1" applyNumberFormat="1">
      <alignment horizontal="center" readingOrder="0" vertical="center"/>
    </xf>
    <xf borderId="4" fillId="42" fontId="20" numFmtId="0" xfId="0" applyAlignment="1" applyBorder="1" applyFill="1" applyFont="1">
      <alignment horizontal="center" readingOrder="0" vertical="center"/>
    </xf>
    <xf borderId="1" fillId="43" fontId="12" numFmtId="0" xfId="0" applyAlignment="1" applyBorder="1" applyFill="1" applyFont="1">
      <alignment horizontal="center" readingOrder="0" vertical="center"/>
    </xf>
    <xf borderId="4" fillId="37" fontId="12" numFmtId="0" xfId="0" applyAlignment="1" applyBorder="1" applyFont="1">
      <alignment horizontal="center" readingOrder="0" vertical="center"/>
    </xf>
    <xf borderId="1" fillId="3" fontId="12" numFmtId="3" xfId="0" applyAlignment="1" applyBorder="1" applyFont="1" applyNumberFormat="1">
      <alignment horizontal="center" readingOrder="0" vertical="bottom"/>
    </xf>
    <xf borderId="4" fillId="22" fontId="17" numFmtId="0" xfId="0" applyAlignment="1" applyBorder="1" applyFont="1">
      <alignment horizontal="center" readingOrder="0" vertical="center"/>
    </xf>
    <xf borderId="4" fillId="0" fontId="12" numFmtId="3" xfId="0" applyAlignment="1" applyBorder="1" applyFont="1" applyNumberFormat="1">
      <alignment horizontal="center" readingOrder="0"/>
    </xf>
    <xf borderId="4" fillId="14" fontId="20" numFmtId="0" xfId="0" applyAlignment="1" applyBorder="1" applyFont="1">
      <alignment horizontal="center" vertical="center"/>
    </xf>
    <xf borderId="4" fillId="5" fontId="12" numFmtId="0" xfId="0" applyAlignment="1" applyBorder="1" applyFont="1">
      <alignment horizontal="center" readingOrder="0" vertical="center"/>
    </xf>
    <xf borderId="4" fillId="14" fontId="20" numFmtId="0" xfId="0" applyAlignment="1" applyBorder="1" applyFont="1">
      <alignment horizontal="center"/>
    </xf>
    <xf borderId="4" fillId="3" fontId="11" numFmtId="0" xfId="0" applyAlignment="1" applyBorder="1" applyFont="1">
      <alignment readingOrder="0" vertical="bottom"/>
    </xf>
    <xf borderId="4" fillId="12" fontId="19" numFmtId="0" xfId="0" applyAlignment="1" applyBorder="1" applyFont="1">
      <alignment horizontal="center" readingOrder="0" vertical="bottom"/>
    </xf>
    <xf borderId="4" fillId="6" fontId="10" numFmtId="164" xfId="0" applyAlignment="1" applyBorder="1" applyFont="1" applyNumberFormat="1">
      <alignment horizontal="center" readingOrder="0" vertical="bottom"/>
    </xf>
    <xf borderId="4" fillId="3" fontId="30" numFmtId="164" xfId="0" applyAlignment="1" applyBorder="1" applyFont="1" applyNumberFormat="1">
      <alignment horizontal="center" readingOrder="0" vertical="bottom"/>
    </xf>
    <xf borderId="4" fillId="3" fontId="12" numFmtId="3" xfId="0" applyAlignment="1" applyBorder="1" applyFont="1" applyNumberFormat="1">
      <alignment horizontal="center" readingOrder="0" vertical="bottom"/>
    </xf>
    <xf borderId="4" fillId="12" fontId="17" numFmtId="0" xfId="0" applyAlignment="1" applyBorder="1" applyFont="1">
      <alignment horizontal="center" readingOrder="0" vertical="center"/>
    </xf>
    <xf borderId="4" fillId="6" fontId="12" numFmtId="0" xfId="0" applyAlignment="1" applyBorder="1" applyFont="1">
      <alignment horizontal="center" readingOrder="0" vertical="center"/>
    </xf>
    <xf borderId="4" fillId="5" fontId="37" numFmtId="164" xfId="0" applyAlignment="1" applyBorder="1" applyFont="1" applyNumberFormat="1">
      <alignment horizontal="center" readingOrder="0" vertical="center"/>
    </xf>
    <xf borderId="4" fillId="43" fontId="19" numFmtId="0" xfId="0" applyAlignment="1" applyBorder="1" applyFont="1">
      <alignment horizontal="center" readingOrder="0"/>
    </xf>
    <xf borderId="4" fillId="0" fontId="13" numFmtId="0" xfId="0" applyAlignment="1" applyBorder="1" applyFont="1">
      <alignment horizontal="center" readingOrder="0"/>
    </xf>
    <xf borderId="0" fillId="3" fontId="16" numFmtId="0" xfId="0" applyAlignment="1" applyFont="1">
      <alignment horizontal="center" readingOrder="0" vertical="center"/>
    </xf>
    <xf borderId="1" fillId="13" fontId="16" numFmtId="0" xfId="0" applyAlignment="1" applyBorder="1" applyFont="1">
      <alignment horizontal="center" readingOrder="0" vertical="center"/>
    </xf>
    <xf borderId="4" fillId="13" fontId="16" numFmtId="3" xfId="0" applyAlignment="1" applyBorder="1" applyFont="1" applyNumberFormat="1">
      <alignment horizontal="center" readingOrder="0" vertical="center"/>
    </xf>
    <xf borderId="4" fillId="6" fontId="10" numFmtId="164" xfId="0" applyAlignment="1" applyBorder="1" applyFont="1" applyNumberFormat="1">
      <alignment horizontal="center" vertical="bottom"/>
    </xf>
    <xf borderId="4" fillId="3" fontId="30" numFmtId="164" xfId="0" applyAlignment="1" applyBorder="1" applyFont="1" applyNumberFormat="1">
      <alignment horizontal="center"/>
    </xf>
    <xf borderId="1" fillId="0" fontId="12" numFmtId="0" xfId="0" applyAlignment="1" applyBorder="1" applyFont="1">
      <alignment horizontal="center" readingOrder="0"/>
    </xf>
    <xf borderId="1" fillId="7" fontId="11" numFmtId="0" xfId="0" applyAlignment="1" applyBorder="1" applyFont="1">
      <alignment horizontal="center" readingOrder="0"/>
    </xf>
    <xf borderId="4" fillId="44" fontId="12" numFmtId="0" xfId="0" applyAlignment="1" applyBorder="1" applyFill="1" applyFont="1">
      <alignment horizontal="center" readingOrder="0" vertical="center"/>
    </xf>
    <xf borderId="4" fillId="41" fontId="17" numFmtId="0" xfId="0" applyAlignment="1" applyBorder="1" applyFont="1">
      <alignment horizontal="center" readingOrder="0" vertical="center"/>
    </xf>
    <xf borderId="4" fillId="14" fontId="20" numFmtId="0" xfId="0" applyAlignment="1" applyBorder="1" applyFont="1">
      <alignment horizontal="center" readingOrder="0" vertical="bottom"/>
    </xf>
    <xf borderId="4" fillId="0" fontId="18" numFmtId="0" xfId="0" applyAlignment="1" applyBorder="1" applyFont="1">
      <alignment horizontal="left" readingOrder="0" vertical="center"/>
    </xf>
    <xf borderId="1" fillId="0" fontId="39" numFmtId="0" xfId="0" applyAlignment="1" applyBorder="1" applyFont="1">
      <alignment horizontal="center" readingOrder="0" vertical="center"/>
    </xf>
    <xf borderId="4" fillId="42" fontId="15" numFmtId="0" xfId="0" applyAlignment="1" applyBorder="1" applyFont="1">
      <alignment horizontal="center" readingOrder="0" vertical="center"/>
    </xf>
    <xf borderId="4" fillId="9" fontId="12" numFmtId="0" xfId="0" applyAlignment="1" applyBorder="1" applyFont="1">
      <alignment horizontal="center" readingOrder="0" vertical="center"/>
    </xf>
    <xf borderId="4" fillId="3" fontId="12" numFmtId="0" xfId="0" applyAlignment="1" applyBorder="1" applyFont="1">
      <alignment horizontal="center" readingOrder="0"/>
    </xf>
    <xf borderId="4" fillId="0" fontId="17" numFmtId="0" xfId="0" applyAlignment="1" applyBorder="1" applyFont="1">
      <alignment horizontal="center" readingOrder="0" vertical="center"/>
    </xf>
    <xf borderId="1" fillId="0" fontId="17" numFmtId="49" xfId="0" applyAlignment="1" applyBorder="1" applyFont="1" applyNumberFormat="1">
      <alignment horizontal="center" readingOrder="0" vertical="center"/>
    </xf>
    <xf borderId="0" fillId="0" fontId="13" numFmtId="168" xfId="0" applyAlignment="1" applyFont="1" applyNumberFormat="1">
      <alignment horizontal="center" readingOrder="0"/>
    </xf>
    <xf borderId="4" fillId="30" fontId="19" numFmtId="0" xfId="0" applyAlignment="1" applyBorder="1" applyFont="1">
      <alignment horizontal="center" readingOrder="0"/>
    </xf>
    <xf borderId="1" fillId="3" fontId="16" numFmtId="170" xfId="0" applyAlignment="1" applyBorder="1" applyFont="1" applyNumberFormat="1">
      <alignment horizontal="center" readingOrder="0" vertical="center"/>
    </xf>
    <xf borderId="4" fillId="8" fontId="19" numFmtId="0" xfId="0" applyAlignment="1" applyBorder="1" applyFont="1">
      <alignment horizontal="center" readingOrder="0"/>
    </xf>
    <xf borderId="1" fillId="0" fontId="17" numFmtId="170" xfId="0" applyAlignment="1" applyBorder="1" applyFont="1" applyNumberFormat="1">
      <alignment horizontal="center" readingOrder="0" vertical="center"/>
    </xf>
    <xf borderId="4" fillId="0" fontId="19" numFmtId="0" xfId="0" applyAlignment="1" applyBorder="1" applyFont="1">
      <alignment horizontal="center" readingOrder="0"/>
    </xf>
    <xf borderId="1" fillId="3" fontId="39" numFmtId="0" xfId="0" applyAlignment="1" applyBorder="1" applyFont="1">
      <alignment horizontal="center" readingOrder="0" vertical="center"/>
    </xf>
    <xf borderId="2" fillId="8" fontId="10" numFmtId="0" xfId="0" applyAlignment="1" applyBorder="1" applyFont="1">
      <alignment horizontal="center" readingOrder="0"/>
    </xf>
    <xf borderId="1" fillId="8" fontId="11" numFmtId="0" xfId="0" applyAlignment="1" applyBorder="1" applyFont="1">
      <alignment readingOrder="0" vertical="center"/>
    </xf>
    <xf borderId="1" fillId="16" fontId="19" numFmtId="0" xfId="0" applyAlignment="1" applyBorder="1" applyFont="1">
      <alignment horizontal="center" readingOrder="0" vertical="center"/>
    </xf>
    <xf borderId="1" fillId="6" fontId="10" numFmtId="164" xfId="0" applyAlignment="1" applyBorder="1" applyFont="1" applyNumberFormat="1">
      <alignment horizontal="center" readingOrder="0" vertical="center"/>
    </xf>
    <xf borderId="1" fillId="3" fontId="30" numFmtId="164" xfId="0" applyAlignment="1" applyBorder="1" applyFont="1" applyNumberFormat="1">
      <alignment horizontal="center" readingOrder="0" vertical="center"/>
    </xf>
    <xf borderId="4" fillId="40" fontId="20" numFmtId="0" xfId="0" applyAlignment="1" applyBorder="1" applyFont="1">
      <alignment horizontal="center" vertical="center"/>
    </xf>
    <xf borderId="4" fillId="8" fontId="12" numFmtId="3" xfId="0" applyAlignment="1" applyBorder="1" applyFont="1" applyNumberFormat="1">
      <alignment horizontal="center" vertical="center"/>
    </xf>
    <xf borderId="4" fillId="0" fontId="19" numFmtId="0" xfId="0" applyAlignment="1" applyBorder="1" applyFont="1">
      <alignment horizontal="center" readingOrder="0" vertical="center"/>
    </xf>
    <xf borderId="1" fillId="3" fontId="11" numFmtId="0" xfId="0" applyAlignment="1" applyBorder="1" applyFont="1">
      <alignment readingOrder="0" vertical="center"/>
    </xf>
    <xf borderId="1" fillId="14" fontId="20" numFmtId="0" xfId="0" applyAlignment="1" applyBorder="1" applyFont="1">
      <alignment horizontal="center" readingOrder="0" vertical="center"/>
    </xf>
    <xf borderId="1" fillId="43" fontId="30" numFmtId="164" xfId="0" applyAlignment="1" applyBorder="1" applyFont="1" applyNumberFormat="1">
      <alignment horizontal="center" readingOrder="0" vertical="center"/>
    </xf>
    <xf borderId="1" fillId="3" fontId="12" numFmtId="3" xfId="0" applyAlignment="1" applyBorder="1" applyFont="1" applyNumberFormat="1">
      <alignment horizontal="center" readingOrder="0" vertical="center"/>
    </xf>
    <xf borderId="1" fillId="12" fontId="27" numFmtId="0" xfId="0" applyAlignment="1" applyBorder="1" applyFont="1">
      <alignment horizontal="center" vertical="bottom"/>
    </xf>
    <xf borderId="4" fillId="3" fontId="14" numFmtId="0" xfId="0" applyAlignment="1" applyBorder="1" applyFont="1">
      <alignment horizontal="left" readingOrder="0" shrinkToFit="0" vertical="center" wrapText="0"/>
    </xf>
    <xf borderId="1" fillId="10" fontId="20" numFmtId="0" xfId="0" applyAlignment="1" applyBorder="1" applyFont="1">
      <alignment horizontal="center" vertical="bottom"/>
    </xf>
    <xf borderId="4" fillId="45" fontId="17" numFmtId="0" xfId="0" applyAlignment="1" applyBorder="1" applyFill="1" applyFont="1">
      <alignment horizontal="center" readingOrder="0" vertical="center"/>
    </xf>
    <xf borderId="17" fillId="3" fontId="11" numFmtId="0" xfId="0" applyAlignment="1" applyBorder="1" applyFont="1">
      <alignment readingOrder="0" shrinkToFit="0" vertical="bottom" wrapText="1"/>
    </xf>
    <xf borderId="17" fillId="46" fontId="12" numFmtId="0" xfId="0" applyAlignment="1" applyBorder="1" applyFill="1" applyFont="1">
      <alignment horizontal="center" vertical="bottom"/>
    </xf>
    <xf borderId="17" fillId="3" fontId="12" numFmtId="0" xfId="0" applyAlignment="1" applyBorder="1" applyFont="1">
      <alignment horizontal="center" vertical="bottom"/>
    </xf>
    <xf borderId="1" fillId="0" fontId="12" numFmtId="166" xfId="0" applyAlignment="1" applyBorder="1" applyFont="1" applyNumberFormat="1">
      <alignment horizontal="center" readingOrder="0" vertical="center"/>
    </xf>
    <xf borderId="1" fillId="0" fontId="11" numFmtId="0" xfId="0" applyAlignment="1" applyBorder="1" applyFont="1">
      <alignment readingOrder="0" shrinkToFit="0" vertical="bottom" wrapText="1"/>
    </xf>
    <xf borderId="1" fillId="31" fontId="12" numFmtId="0" xfId="0" applyAlignment="1" applyBorder="1" applyFont="1">
      <alignment horizontal="center" vertical="bottom"/>
    </xf>
    <xf borderId="4" fillId="47" fontId="17" numFmtId="0" xfId="0" applyAlignment="1" applyBorder="1" applyFill="1" applyFont="1">
      <alignment horizontal="center" readingOrder="0" vertical="center"/>
    </xf>
    <xf borderId="4" fillId="8" fontId="20" numFmtId="0" xfId="0" applyAlignment="1" applyBorder="1" applyFont="1">
      <alignment horizontal="center" readingOrder="0" vertical="center"/>
    </xf>
    <xf borderId="1" fillId="0" fontId="12" numFmtId="169" xfId="0" applyAlignment="1" applyBorder="1" applyFont="1" applyNumberFormat="1">
      <alignment horizontal="center" readingOrder="0" vertical="center"/>
    </xf>
    <xf borderId="1" fillId="3" fontId="12" numFmtId="164" xfId="0" applyAlignment="1" applyBorder="1" applyFont="1" applyNumberFormat="1">
      <alignment horizontal="center" vertical="bottom"/>
    </xf>
    <xf borderId="1" fillId="8" fontId="11" numFmtId="0" xfId="0" applyAlignment="1" applyBorder="1" applyFont="1">
      <alignment readingOrder="0" vertical="bottom"/>
    </xf>
    <xf borderId="1" fillId="13" fontId="12" numFmtId="0" xfId="0" applyAlignment="1" applyBorder="1" applyFont="1">
      <alignment horizontal="center" vertical="bottom"/>
    </xf>
    <xf borderId="17" fillId="0" fontId="11" numFmtId="0" xfId="0" applyAlignment="1" applyBorder="1" applyFont="1">
      <alignment readingOrder="0" shrinkToFit="0" vertical="bottom" wrapText="1"/>
    </xf>
    <xf borderId="17" fillId="46" fontId="27" numFmtId="0" xfId="0" applyAlignment="1" applyBorder="1" applyFont="1">
      <alignment horizontal="center" vertical="bottom"/>
    </xf>
    <xf borderId="17" fillId="0" fontId="12" numFmtId="0" xfId="0" applyAlignment="1" applyBorder="1" applyFont="1">
      <alignment horizontal="center" vertical="bottom"/>
    </xf>
    <xf borderId="1" fillId="0" fontId="16" numFmtId="169" xfId="0" applyAlignment="1" applyBorder="1" applyFont="1" applyNumberFormat="1">
      <alignment horizontal="center" readingOrder="0" vertical="center"/>
    </xf>
    <xf borderId="1" fillId="0" fontId="12" numFmtId="0" xfId="0" applyAlignment="1" applyBorder="1" applyFont="1">
      <alignment horizontal="center" readingOrder="0" vertical="bottom"/>
    </xf>
    <xf borderId="4" fillId="0" fontId="14" numFmtId="0" xfId="0" applyAlignment="1" applyBorder="1" applyFont="1">
      <alignment horizontal="left" readingOrder="0" shrinkToFit="0" vertical="center" wrapText="0"/>
    </xf>
    <xf borderId="4" fillId="28" fontId="17" numFmtId="0" xfId="0" applyAlignment="1" applyBorder="1" applyFont="1">
      <alignment horizontal="center" readingOrder="0" vertical="center"/>
    </xf>
    <xf borderId="4" fillId="23" fontId="12" numFmtId="0" xfId="0" applyAlignment="1" applyBorder="1" applyFont="1">
      <alignment horizontal="center" vertical="center"/>
    </xf>
    <xf borderId="1" fillId="3" fontId="12" numFmtId="0" xfId="0" applyAlignment="1" applyBorder="1" applyFont="1">
      <alignment horizontal="center" vertical="center"/>
    </xf>
    <xf borderId="2" fillId="2" fontId="2" numFmtId="165" xfId="0" applyAlignment="1" applyBorder="1" applyFont="1" applyNumberFormat="1">
      <alignment horizontal="center" readingOrder="0" vertical="bottom"/>
    </xf>
    <xf borderId="1" fillId="48" fontId="1" numFmtId="165" xfId="0" applyAlignment="1" applyBorder="1" applyFill="1" applyFont="1" applyNumberFormat="1">
      <alignment horizontal="center" readingOrder="0" vertical="center"/>
    </xf>
    <xf borderId="1" fillId="48" fontId="1" numFmtId="165" xfId="0" applyAlignment="1" applyBorder="1" applyFont="1" applyNumberFormat="1">
      <alignment horizontal="center" readingOrder="0" shrinkToFit="0" vertical="center" wrapText="1"/>
    </xf>
    <xf borderId="2" fillId="48" fontId="1" numFmtId="164" xfId="0" applyAlignment="1" applyBorder="1" applyFont="1" applyNumberFormat="1">
      <alignment horizontal="center" readingOrder="0" shrinkToFit="0" vertical="center" wrapText="1"/>
    </xf>
    <xf borderId="2" fillId="48" fontId="1" numFmtId="3" xfId="0" applyAlignment="1" applyBorder="1" applyFont="1" applyNumberFormat="1">
      <alignment horizontal="center" readingOrder="0" vertical="center"/>
    </xf>
    <xf borderId="1" fillId="48" fontId="1" numFmtId="164" xfId="0" applyAlignment="1" applyBorder="1" applyFont="1" applyNumberFormat="1">
      <alignment horizontal="center" readingOrder="0" shrinkToFit="0" vertical="center" wrapText="1"/>
    </xf>
    <xf borderId="1" fillId="48" fontId="1" numFmtId="173" xfId="0" applyAlignment="1" applyBorder="1" applyFont="1" applyNumberFormat="1">
      <alignment horizontal="center" readingOrder="0" shrinkToFit="0" vertical="center" wrapText="1"/>
    </xf>
    <xf borderId="1" fillId="48" fontId="1" numFmtId="164" xfId="0" applyAlignment="1" applyBorder="1" applyFont="1" applyNumberFormat="1">
      <alignment horizontal="center" readingOrder="0" vertical="center"/>
    </xf>
    <xf borderId="2" fillId="48" fontId="1" numFmtId="165" xfId="0" applyAlignment="1" applyBorder="1" applyFont="1" applyNumberFormat="1">
      <alignment horizontal="center" readingOrder="0" shrinkToFit="0" vertical="center" wrapText="1"/>
    </xf>
    <xf borderId="1" fillId="26" fontId="23" numFmtId="165" xfId="0" applyAlignment="1" applyBorder="1" applyFont="1" applyNumberFormat="1">
      <alignment horizontal="center" readingOrder="0" vertical="bottom"/>
    </xf>
    <xf borderId="1" fillId="48" fontId="40" numFmtId="165" xfId="0" applyAlignment="1" applyBorder="1" applyFont="1" applyNumberFormat="1">
      <alignment horizontal="center" readingOrder="0" vertical="center"/>
    </xf>
    <xf borderId="1" fillId="48" fontId="40" numFmtId="164" xfId="0" applyAlignment="1" applyBorder="1" applyFont="1" applyNumberFormat="1">
      <alignment horizontal="center" readingOrder="0" vertical="center"/>
    </xf>
    <xf borderId="1" fillId="48" fontId="41" numFmtId="3" xfId="0" applyAlignment="1" applyBorder="1" applyFont="1" applyNumberFormat="1">
      <alignment horizontal="center" readingOrder="0" vertical="center"/>
    </xf>
    <xf borderId="17" fillId="48" fontId="40" numFmtId="164" xfId="0" applyAlignment="1" applyBorder="1" applyFont="1" applyNumberFormat="1">
      <alignment horizontal="center" readingOrder="0" vertical="center"/>
    </xf>
    <xf borderId="1" fillId="48" fontId="40" numFmtId="164" xfId="0" applyAlignment="1" applyBorder="1" applyFont="1" applyNumberFormat="1">
      <alignment horizontal="center" readingOrder="0" shrinkToFit="0" vertical="center" wrapText="1"/>
    </xf>
    <xf borderId="1" fillId="48" fontId="41" numFmtId="173" xfId="0" applyAlignment="1" applyBorder="1" applyFont="1" applyNumberFormat="1">
      <alignment horizontal="center" vertical="center"/>
    </xf>
    <xf borderId="1" fillId="48" fontId="41" numFmtId="164" xfId="0" applyAlignment="1" applyBorder="1" applyFont="1" applyNumberFormat="1">
      <alignment horizontal="center" vertical="center"/>
    </xf>
    <xf borderId="1" fillId="48" fontId="41" numFmtId="165" xfId="0" applyAlignment="1" applyBorder="1" applyFont="1" applyNumberFormat="1">
      <alignment horizontal="center" vertical="center"/>
    </xf>
    <xf borderId="1" fillId="48" fontId="25" numFmtId="165" xfId="0" applyAlignment="1" applyBorder="1" applyFont="1" applyNumberFormat="1">
      <alignment readingOrder="0" vertical="bottom"/>
    </xf>
    <xf borderId="1" fillId="20" fontId="42" numFmtId="165" xfId="0" applyAlignment="1" applyBorder="1" applyFont="1" applyNumberFormat="1">
      <alignment horizontal="center" readingOrder="0" vertical="bottom"/>
    </xf>
    <xf borderId="1" fillId="20" fontId="42" numFmtId="164" xfId="0" applyAlignment="1" applyBorder="1" applyFont="1" applyNumberFormat="1">
      <alignment horizontal="center" readingOrder="0" vertical="bottom"/>
    </xf>
    <xf borderId="1" fillId="49" fontId="43" numFmtId="164" xfId="0" applyAlignment="1" applyBorder="1" applyFill="1" applyFont="1" applyNumberFormat="1">
      <alignment horizontal="center" readingOrder="0" vertical="bottom"/>
    </xf>
    <xf borderId="1" fillId="20" fontId="42" numFmtId="3" xfId="0" applyAlignment="1" applyBorder="1" applyFont="1" applyNumberFormat="1">
      <alignment horizontal="center" readingOrder="0" vertical="bottom"/>
    </xf>
    <xf borderId="1" fillId="6" fontId="43" numFmtId="164" xfId="0" applyAlignment="1" applyBorder="1" applyFont="1" applyNumberFormat="1">
      <alignment horizontal="center" readingOrder="0" vertical="bottom"/>
    </xf>
    <xf borderId="1" fillId="8" fontId="42" numFmtId="164" xfId="0" applyAlignment="1" applyBorder="1" applyFont="1" applyNumberFormat="1">
      <alignment horizontal="center" vertical="bottom"/>
    </xf>
    <xf borderId="1" fillId="20" fontId="42" numFmtId="173" xfId="0" applyAlignment="1" applyBorder="1" applyFont="1" applyNumberFormat="1">
      <alignment horizontal="center" readingOrder="0" vertical="bottom"/>
    </xf>
    <xf borderId="1" fillId="3" fontId="42" numFmtId="165" xfId="0" applyAlignment="1" applyBorder="1" applyFont="1" applyNumberFormat="1">
      <alignment horizontal="center" readingOrder="0" vertical="bottom"/>
    </xf>
    <xf borderId="1" fillId="3" fontId="42" numFmtId="3" xfId="0" applyAlignment="1" applyBorder="1" applyFont="1" applyNumberFormat="1">
      <alignment horizontal="center" readingOrder="0" vertical="bottom"/>
    </xf>
    <xf borderId="1" fillId="0" fontId="42" numFmtId="164" xfId="0" applyAlignment="1" applyBorder="1" applyFont="1" applyNumberFormat="1">
      <alignment horizontal="center" readingOrder="0" vertical="bottom"/>
    </xf>
    <xf borderId="1" fillId="3" fontId="42" numFmtId="164" xfId="0" applyAlignment="1" applyBorder="1" applyFont="1" applyNumberFormat="1">
      <alignment horizontal="center" vertical="bottom"/>
    </xf>
    <xf borderId="1" fillId="8" fontId="42" numFmtId="164" xfId="0" applyAlignment="1" applyBorder="1" applyFont="1" applyNumberFormat="1">
      <alignment horizontal="center" readingOrder="0" vertical="bottom"/>
    </xf>
    <xf borderId="1" fillId="48" fontId="25" numFmtId="165" xfId="0" applyAlignment="1" applyBorder="1" applyFont="1" applyNumberFormat="1">
      <alignment vertical="bottom"/>
    </xf>
    <xf borderId="1" fillId="3" fontId="42" numFmtId="164" xfId="0" applyAlignment="1" applyBorder="1" applyFont="1" applyNumberFormat="1">
      <alignment horizontal="center" readingOrder="0" vertical="bottom"/>
    </xf>
    <xf borderId="1" fillId="20" fontId="44" numFmtId="3" xfId="0" applyAlignment="1" applyBorder="1" applyFont="1" applyNumberFormat="1">
      <alignment horizontal="center" readingOrder="0"/>
    </xf>
    <xf borderId="0" fillId="20" fontId="44" numFmtId="3" xfId="0" applyAlignment="1" applyFont="1" applyNumberFormat="1">
      <alignment horizontal="center" readingOrder="0"/>
    </xf>
    <xf borderId="1" fillId="6" fontId="45" numFmtId="164" xfId="0" applyAlignment="1" applyBorder="1" applyFont="1" applyNumberFormat="1">
      <alignment horizontal="center" readingOrder="0" vertical="bottom"/>
    </xf>
    <xf borderId="1" fillId="13" fontId="42" numFmtId="164" xfId="0" applyAlignment="1" applyBorder="1" applyFont="1" applyNumberFormat="1">
      <alignment horizontal="center" readingOrder="0" vertical="bottom"/>
    </xf>
    <xf borderId="1" fillId="37" fontId="43" numFmtId="164" xfId="0" applyAlignment="1" applyBorder="1" applyFont="1" applyNumberFormat="1">
      <alignment horizontal="center" readingOrder="0" vertical="bottom"/>
    </xf>
    <xf borderId="1" fillId="43" fontId="42" numFmtId="165" xfId="0" applyAlignment="1" applyBorder="1" applyFont="1" applyNumberFormat="1">
      <alignment horizontal="center" readingOrder="0" vertical="bottom"/>
    </xf>
    <xf borderId="1" fillId="13" fontId="42" numFmtId="165" xfId="0" applyAlignment="1" applyBorder="1" applyFont="1" applyNumberFormat="1">
      <alignment horizontal="center" vertical="bottom"/>
    </xf>
    <xf borderId="1" fillId="48" fontId="25" numFmtId="3" xfId="0" applyAlignment="1" applyBorder="1" applyFont="1" applyNumberFormat="1">
      <alignment horizontal="left" readingOrder="0" vertical="bottom"/>
    </xf>
    <xf borderId="0" fillId="0" fontId="46" numFmtId="0" xfId="0" applyFont="1"/>
    <xf borderId="0" fillId="0" fontId="13" numFmtId="164" xfId="0" applyFont="1" applyNumberFormat="1"/>
    <xf borderId="0" fillId="0" fontId="13" numFmtId="3" xfId="0" applyFont="1" applyNumberFormat="1"/>
    <xf borderId="0" fillId="0" fontId="13" numFmtId="173" xfId="0" applyFont="1" applyNumberFormat="1"/>
    <xf borderId="0" fillId="3" fontId="13" numFmtId="164" xfId="0" applyFont="1" applyNumberFormat="1"/>
    <xf borderId="20" fillId="17" fontId="47" numFmtId="0" xfId="0" applyAlignment="1" applyBorder="1" applyFont="1">
      <alignment horizontal="center" vertical="bottom"/>
    </xf>
    <xf borderId="21" fillId="17" fontId="47" numFmtId="0" xfId="0" applyAlignment="1" applyBorder="1" applyFont="1">
      <alignment horizontal="center" vertical="bottom"/>
    </xf>
    <xf borderId="22" fillId="17" fontId="48" numFmtId="0" xfId="0" applyAlignment="1" applyBorder="1" applyFont="1">
      <alignment horizontal="center" readingOrder="0"/>
    </xf>
    <xf borderId="23" fillId="17" fontId="48" numFmtId="0" xfId="0" applyAlignment="1" applyBorder="1" applyFont="1">
      <alignment horizontal="center" readingOrder="0"/>
    </xf>
    <xf borderId="1" fillId="17" fontId="49" numFmtId="0" xfId="0" applyAlignment="1" applyBorder="1" applyFont="1">
      <alignment horizontal="center" readingOrder="0" shrinkToFit="0" vertical="center" wrapText="1"/>
    </xf>
    <xf borderId="20" fillId="3" fontId="11" numFmtId="0" xfId="0" applyAlignment="1" applyBorder="1" applyFont="1">
      <alignment horizontal="left" vertical="center"/>
    </xf>
    <xf borderId="11" fillId="3" fontId="12" numFmtId="49" xfId="0" applyAlignment="1" applyBorder="1" applyFont="1" applyNumberFormat="1">
      <alignment horizontal="center" vertical="bottom"/>
    </xf>
    <xf borderId="24" fillId="0" fontId="13" numFmtId="165" xfId="0" applyAlignment="1" applyBorder="1" applyFont="1" applyNumberFormat="1">
      <alignment horizontal="center"/>
    </xf>
    <xf borderId="25" fillId="3" fontId="13" numFmtId="165" xfId="0" applyAlignment="1" applyBorder="1" applyFont="1" applyNumberFormat="1">
      <alignment horizontal="center"/>
    </xf>
    <xf borderId="1" fillId="0" fontId="36" numFmtId="0" xfId="0" applyAlignment="1" applyBorder="1" applyFont="1">
      <alignment horizontal="left" readingOrder="0" shrinkToFit="0" vertical="center" wrapText="1"/>
    </xf>
    <xf borderId="15" fillId="0" fontId="7" numFmtId="0" xfId="0" applyBorder="1" applyFont="1"/>
    <xf borderId="14" fillId="3" fontId="12" numFmtId="49" xfId="0" applyAlignment="1" applyBorder="1" applyFont="1" applyNumberFormat="1">
      <alignment horizontal="center" readingOrder="0" vertical="bottom"/>
    </xf>
    <xf borderId="26" fillId="0" fontId="13" numFmtId="165" xfId="0" applyAlignment="1" applyBorder="1" applyFont="1" applyNumberFormat="1">
      <alignment horizontal="center"/>
    </xf>
    <xf borderId="27" fillId="3" fontId="13" numFmtId="165" xfId="0" applyAlignment="1" applyBorder="1" applyFont="1" applyNumberFormat="1">
      <alignment horizontal="center"/>
    </xf>
    <xf borderId="20" fillId="13" fontId="11" numFmtId="0" xfId="0" applyAlignment="1" applyBorder="1" applyFont="1">
      <alignment horizontal="left" vertical="center"/>
    </xf>
    <xf borderId="11" fillId="13" fontId="12" numFmtId="49" xfId="0" applyAlignment="1" applyBorder="1" applyFont="1" applyNumberFormat="1">
      <alignment horizontal="center" vertical="bottom"/>
    </xf>
    <xf borderId="24" fillId="13" fontId="13" numFmtId="165" xfId="0" applyAlignment="1" applyBorder="1" applyFont="1" applyNumberFormat="1">
      <alignment horizontal="center"/>
    </xf>
    <xf borderId="25" fillId="13" fontId="13" numFmtId="165" xfId="0" applyAlignment="1" applyBorder="1" applyFont="1" applyNumberFormat="1">
      <alignment horizontal="center"/>
    </xf>
    <xf borderId="14" fillId="13" fontId="12" numFmtId="49" xfId="0" applyAlignment="1" applyBorder="1" applyFont="1" applyNumberFormat="1">
      <alignment horizontal="center" vertical="bottom"/>
    </xf>
    <xf borderId="26" fillId="13" fontId="13" numFmtId="165" xfId="0" applyAlignment="1" applyBorder="1" applyFont="1" applyNumberFormat="1">
      <alignment horizontal="center"/>
    </xf>
    <xf borderId="27" fillId="13" fontId="13" numFmtId="165" xfId="0" applyAlignment="1" applyBorder="1" applyFont="1" applyNumberFormat="1">
      <alignment horizontal="center"/>
    </xf>
    <xf borderId="25" fillId="0" fontId="13" numFmtId="165" xfId="0" applyAlignment="1" applyBorder="1" applyFont="1" applyNumberFormat="1">
      <alignment horizontal="center"/>
    </xf>
    <xf borderId="14" fillId="3" fontId="12" numFmtId="49" xfId="0" applyAlignment="1" applyBorder="1" applyFont="1" applyNumberFormat="1">
      <alignment horizontal="center" vertical="bottom"/>
    </xf>
    <xf borderId="27" fillId="0" fontId="13" numFmtId="165" xfId="0" applyAlignment="1" applyBorder="1" applyFont="1" applyNumberFormat="1">
      <alignment horizontal="center"/>
    </xf>
    <xf borderId="9" fillId="13" fontId="36" numFmtId="0" xfId="0" applyAlignment="1" applyBorder="1" applyFont="1">
      <alignment readingOrder="0" shrinkToFit="0" vertical="center" wrapText="1"/>
    </xf>
    <xf borderId="28" fillId="0" fontId="7" numFmtId="0" xfId="0" applyBorder="1" applyFont="1"/>
    <xf borderId="3" fillId="3" fontId="12" numFmtId="49" xfId="0" applyAlignment="1" applyBorder="1" applyFont="1" applyNumberFormat="1">
      <alignment horizontal="center" vertical="bottom"/>
    </xf>
    <xf borderId="29" fillId="0" fontId="13" numFmtId="165" xfId="0" applyAlignment="1" applyBorder="1" applyFont="1" applyNumberFormat="1">
      <alignment horizontal="center"/>
    </xf>
    <xf borderId="30" fillId="0" fontId="13" numFmtId="165" xfId="0" applyAlignment="1" applyBorder="1" applyFont="1" applyNumberFormat="1">
      <alignment horizontal="center"/>
    </xf>
    <xf borderId="17" fillId="0" fontId="7" numFmtId="0" xfId="0" applyBorder="1" applyFont="1"/>
    <xf borderId="1" fillId="13" fontId="50" numFmtId="0" xfId="0" applyAlignment="1" applyBorder="1" applyFont="1">
      <alignment horizontal="left" readingOrder="0" vertical="center"/>
    </xf>
    <xf borderId="1" fillId="13" fontId="36" numFmtId="0" xfId="0" applyAlignment="1" applyBorder="1" applyFont="1">
      <alignment readingOrder="0" vertical="center"/>
    </xf>
    <xf borderId="5" fillId="3" fontId="11" numFmtId="0" xfId="0" applyAlignment="1" applyBorder="1" applyFont="1">
      <alignment horizontal="left" vertical="center"/>
    </xf>
    <xf borderId="6" fillId="3" fontId="12" numFmtId="49" xfId="0" applyAlignment="1" applyBorder="1" applyFont="1" applyNumberFormat="1">
      <alignment horizontal="center" vertical="bottom"/>
    </xf>
    <xf borderId="31" fillId="0" fontId="13" numFmtId="165" xfId="0" applyAlignment="1" applyBorder="1" applyFont="1" applyNumberFormat="1">
      <alignment horizontal="center"/>
    </xf>
    <xf borderId="32" fillId="0" fontId="13" numFmtId="165" xfId="0" applyAlignment="1" applyBorder="1" applyFont="1" applyNumberFormat="1">
      <alignment horizontal="center"/>
    </xf>
    <xf borderId="5" fillId="13" fontId="11" numFmtId="0" xfId="0" applyAlignment="1" applyBorder="1" applyFont="1">
      <alignment horizontal="left" vertical="center"/>
    </xf>
    <xf borderId="7" fillId="13" fontId="12" numFmtId="49" xfId="0" applyAlignment="1" applyBorder="1" applyFont="1" applyNumberFormat="1">
      <alignment horizontal="center" vertical="bottom"/>
    </xf>
    <xf borderId="31" fillId="13" fontId="13" numFmtId="0" xfId="0" applyAlignment="1" applyBorder="1" applyFont="1">
      <alignment horizontal="center"/>
    </xf>
    <xf borderId="32" fillId="13" fontId="13" numFmtId="0" xfId="0" applyAlignment="1" applyBorder="1" applyFont="1">
      <alignment horizontal="center"/>
    </xf>
    <xf borderId="0" fillId="0" fontId="13" numFmtId="0" xfId="0" applyAlignment="1" applyFont="1">
      <alignment horizontal="center"/>
    </xf>
    <xf borderId="2" fillId="12" fontId="51" numFmtId="165" xfId="0" applyAlignment="1" applyBorder="1" applyFont="1" applyNumberFormat="1">
      <alignment horizontal="center" readingOrder="0" vertical="bottom"/>
    </xf>
    <xf borderId="0" fillId="3" fontId="52" numFmtId="165" xfId="0" applyAlignment="1" applyFont="1" applyNumberFormat="1">
      <alignment horizontal="center" readingOrder="0" vertical="bottom"/>
    </xf>
    <xf borderId="1" fillId="50" fontId="53" numFmtId="165" xfId="0" applyAlignment="1" applyBorder="1" applyFill="1" applyFont="1" applyNumberFormat="1">
      <alignment horizontal="center" readingOrder="0" vertical="center"/>
    </xf>
    <xf borderId="1" fillId="50" fontId="54" numFmtId="3" xfId="0" applyAlignment="1" applyBorder="1" applyFont="1" applyNumberFormat="1">
      <alignment horizontal="center" readingOrder="0" shrinkToFit="0" vertical="center" wrapText="1"/>
    </xf>
    <xf borderId="1" fillId="50" fontId="53" numFmtId="4" xfId="0" applyAlignment="1" applyBorder="1" applyFont="1" applyNumberFormat="1">
      <alignment horizontal="center" readingOrder="0" shrinkToFit="0" vertical="center" wrapText="1"/>
    </xf>
    <xf borderId="1" fillId="50" fontId="53" numFmtId="164" xfId="0" applyAlignment="1" applyBorder="1" applyFont="1" applyNumberFormat="1">
      <alignment horizontal="center" readingOrder="0" vertical="center"/>
    </xf>
    <xf borderId="1" fillId="50" fontId="5" numFmtId="3" xfId="0" applyAlignment="1" applyBorder="1" applyFont="1" applyNumberFormat="1">
      <alignment horizontal="center" readingOrder="0" shrinkToFit="0" vertical="center" wrapText="1"/>
    </xf>
    <xf borderId="1" fillId="50" fontId="55" numFmtId="164" xfId="0" applyAlignment="1" applyBorder="1" applyFont="1" applyNumberFormat="1">
      <alignment horizontal="center" readingOrder="0" shrinkToFit="0" vertical="center" wrapText="1"/>
    </xf>
    <xf borderId="1" fillId="50" fontId="23" numFmtId="165" xfId="0" applyAlignment="1" applyBorder="1" applyFont="1" applyNumberFormat="1">
      <alignment horizontal="center" readingOrder="0" vertical="bottom"/>
    </xf>
    <xf borderId="1" fillId="50" fontId="56" numFmtId="3" xfId="0" applyAlignment="1" applyBorder="1" applyFont="1" applyNumberFormat="1">
      <alignment horizontal="center" readingOrder="0" vertical="center"/>
    </xf>
    <xf borderId="1" fillId="50" fontId="56" numFmtId="4" xfId="0" applyAlignment="1" applyBorder="1" applyFont="1" applyNumberFormat="1">
      <alignment horizontal="center" readingOrder="0" vertical="center"/>
    </xf>
    <xf borderId="1" fillId="50" fontId="56" numFmtId="164" xfId="0" applyAlignment="1" applyBorder="1" applyFont="1" applyNumberFormat="1">
      <alignment horizontal="center" readingOrder="0" vertical="center"/>
    </xf>
    <xf borderId="1" fillId="50" fontId="13" numFmtId="3" xfId="0" applyAlignment="1" applyBorder="1" applyFont="1" applyNumberFormat="1">
      <alignment horizontal="center" vertical="center"/>
    </xf>
    <xf borderId="17" fillId="50" fontId="40" numFmtId="164" xfId="0" applyAlignment="1" applyBorder="1" applyFont="1" applyNumberFormat="1">
      <alignment horizontal="center" readingOrder="0" vertical="center"/>
    </xf>
    <xf borderId="1" fillId="50" fontId="57" numFmtId="165" xfId="0" applyAlignment="1" applyBorder="1" applyFont="1" applyNumberFormat="1">
      <alignment readingOrder="0" vertical="bottom"/>
    </xf>
    <xf borderId="1" fillId="13" fontId="42" numFmtId="4" xfId="0" applyAlignment="1" applyBorder="1" applyFont="1" applyNumberFormat="1">
      <alignment horizontal="center" readingOrder="0" vertical="bottom"/>
    </xf>
    <xf borderId="1" fillId="13" fontId="42" numFmtId="3" xfId="0" applyAlignment="1" applyBorder="1" applyFont="1" applyNumberFormat="1">
      <alignment horizontal="center" readingOrder="0" vertical="center"/>
    </xf>
    <xf borderId="1" fillId="25" fontId="42" numFmtId="3" xfId="0" applyAlignment="1" applyBorder="1" applyFont="1" applyNumberFormat="1">
      <alignment horizontal="center" readingOrder="0" vertical="center"/>
    </xf>
    <xf borderId="1" fillId="3" fontId="42" numFmtId="4" xfId="0" applyAlignment="1" applyBorder="1" applyFont="1" applyNumberFormat="1">
      <alignment horizontal="center" readingOrder="0" vertical="bottom"/>
    </xf>
    <xf borderId="1" fillId="50" fontId="57" numFmtId="165" xfId="0" applyAlignment="1" applyBorder="1" applyFont="1" applyNumberFormat="1">
      <alignment vertical="bottom"/>
    </xf>
    <xf borderId="1" fillId="13" fontId="42" numFmtId="3" xfId="0" applyAlignment="1" applyBorder="1" applyFont="1" applyNumberFormat="1">
      <alignment horizontal="center" readingOrder="0" vertical="bottom"/>
    </xf>
    <xf borderId="1" fillId="3" fontId="13" numFmtId="3" xfId="0" applyAlignment="1" applyBorder="1" applyFont="1" applyNumberFormat="1">
      <alignment horizontal="center" readingOrder="0" vertical="center"/>
    </xf>
    <xf borderId="1" fillId="13" fontId="13" numFmtId="3" xfId="0" applyAlignment="1" applyBorder="1" applyFont="1" applyNumberFormat="1">
      <alignment horizontal="center" readingOrder="0" vertical="center"/>
    </xf>
    <xf borderId="1" fillId="25" fontId="42" numFmtId="4" xfId="0" applyAlignment="1" applyBorder="1" applyFont="1" applyNumberFormat="1">
      <alignment horizontal="center" readingOrder="0" vertical="bottom"/>
    </xf>
    <xf borderId="1" fillId="3" fontId="44" numFmtId="165" xfId="0" applyAlignment="1" applyBorder="1" applyFont="1" applyNumberFormat="1">
      <alignment horizontal="center" readingOrder="0"/>
    </xf>
    <xf borderId="1" fillId="50" fontId="57" numFmtId="3" xfId="0" applyAlignment="1" applyBorder="1" applyFont="1" applyNumberFormat="1">
      <alignment horizontal="left" readingOrder="0" vertical="bottom"/>
    </xf>
    <xf borderId="0" fillId="0" fontId="13" numFmtId="4" xfId="0" applyFont="1" applyNumberFormat="1"/>
    <xf borderId="0" fillId="0" fontId="13" numFmtId="3" xfId="0" applyAlignment="1" applyFont="1" applyNumberFormat="1">
      <alignment horizontal="center" vertical="center"/>
    </xf>
    <xf borderId="33" fillId="50" fontId="36" numFmtId="0" xfId="0" applyAlignment="1" applyBorder="1" applyFont="1">
      <alignment horizontal="left" readingOrder="0" shrinkToFit="0" vertical="center" wrapText="1"/>
    </xf>
    <xf borderId="34" fillId="0" fontId="7" numFmtId="0" xfId="0" applyBorder="1" applyFont="1"/>
    <xf borderId="18" fillId="0" fontId="7" numFmtId="0" xfId="0" applyBorder="1" applyFont="1"/>
    <xf borderId="35" fillId="0" fontId="7" numFmtId="0" xfId="0" applyBorder="1" applyFont="1"/>
    <xf borderId="36" fillId="0" fontId="7" numFmtId="0" xfId="0" applyBorder="1" applyFont="1"/>
    <xf borderId="19" fillId="0" fontId="7" numFmtId="0" xfId="0" applyBorder="1" applyFont="1"/>
    <xf borderId="0" fillId="0" fontId="44" numFmtId="0" xfId="0" applyAlignment="1" applyFont="1">
      <alignment horizontal="center" shrinkToFit="0" vertical="bottom" wrapText="0"/>
    </xf>
    <xf borderId="0" fillId="0" fontId="23" numFmtId="0" xfId="0" applyAlignment="1" applyFont="1">
      <alignment shrinkToFit="0" vertical="center" wrapText="1"/>
    </xf>
    <xf borderId="0" fillId="0" fontId="44" numFmtId="0" xfId="0" applyAlignment="1" applyFont="1">
      <alignment shrinkToFit="0" vertical="bottom" wrapText="0"/>
    </xf>
    <xf borderId="0" fillId="0" fontId="44" numFmtId="3" xfId="0" applyAlignment="1" applyFont="1" applyNumberFormat="1">
      <alignment shrinkToFit="0" vertical="bottom" wrapText="0"/>
    </xf>
    <xf borderId="0" fillId="0" fontId="23" numFmtId="0" xfId="0" applyAlignment="1" applyFont="1">
      <alignment shrinkToFit="0" vertical="bottom" wrapText="0"/>
    </xf>
    <xf borderId="0" fillId="0" fontId="13" numFmtId="3" xfId="0" applyAlignment="1" applyFont="1" applyNumberFormat="1">
      <alignment horizontal="center"/>
    </xf>
    <xf borderId="9" fillId="51" fontId="58" numFmtId="0" xfId="0" applyAlignment="1" applyBorder="1" applyFill="1" applyFont="1">
      <alignment horizontal="center" readingOrder="0" shrinkToFit="0" vertical="center" wrapText="1"/>
    </xf>
    <xf borderId="1" fillId="9" fontId="23" numFmtId="0" xfId="0" applyAlignment="1" applyBorder="1" applyFont="1">
      <alignment horizontal="center" shrinkToFit="0" vertical="center" wrapText="1"/>
    </xf>
    <xf borderId="1" fillId="9" fontId="23" numFmtId="0" xfId="0" applyAlignment="1" applyBorder="1" applyFont="1">
      <alignment horizontal="center" readingOrder="0" shrinkToFit="0" wrapText="0"/>
    </xf>
    <xf borderId="1" fillId="9" fontId="23" numFmtId="0" xfId="0" applyAlignment="1" applyBorder="1" applyFont="1">
      <alignment horizontal="center" readingOrder="0" shrinkToFit="0" vertical="bottom" wrapText="0"/>
    </xf>
    <xf borderId="1" fillId="9" fontId="23" numFmtId="3" xfId="0" applyAlignment="1" applyBorder="1" applyFont="1" applyNumberFormat="1">
      <alignment horizontal="center" readingOrder="0" shrinkToFit="0" vertical="bottom" wrapText="0"/>
    </xf>
    <xf borderId="33" fillId="51" fontId="59" numFmtId="0" xfId="0" applyAlignment="1" applyBorder="1" applyFont="1">
      <alignment horizontal="center" readingOrder="0" shrinkToFit="0" vertical="center" wrapText="1"/>
    </xf>
    <xf borderId="37" fillId="3" fontId="7" numFmtId="0" xfId="0" applyBorder="1" applyFont="1"/>
    <xf borderId="33" fillId="3" fontId="23" numFmtId="0" xfId="0" applyAlignment="1" applyBorder="1" applyFont="1">
      <alignment horizontal="center" shrinkToFit="0" vertical="center" wrapText="1"/>
    </xf>
    <xf borderId="34" fillId="3" fontId="7" numFmtId="0" xfId="0" applyBorder="1" applyFont="1"/>
    <xf borderId="18" fillId="3" fontId="7" numFmtId="0" xfId="0" applyBorder="1" applyFont="1"/>
    <xf borderId="37" fillId="43" fontId="7" numFmtId="0" xfId="0" applyBorder="1" applyFont="1"/>
    <xf borderId="1" fillId="43" fontId="23" numFmtId="0" xfId="0" applyAlignment="1" applyBorder="1" applyFont="1">
      <alignment horizontal="center" readingOrder="0" shrinkToFit="0" vertical="center" wrapText="1"/>
    </xf>
    <xf borderId="38" fillId="3" fontId="13" numFmtId="174" xfId="0" applyAlignment="1" applyBorder="1" applyFont="1" applyNumberFormat="1">
      <alignment horizontal="center" readingOrder="0"/>
    </xf>
    <xf borderId="1" fillId="43" fontId="44" numFmtId="9" xfId="0" applyAlignment="1" applyBorder="1" applyFont="1" applyNumberFormat="1">
      <alignment horizontal="center" readingOrder="0" shrinkToFit="0" vertical="bottom" wrapText="0"/>
    </xf>
    <xf borderId="1" fillId="43" fontId="44" numFmtId="3" xfId="0" applyAlignment="1" applyBorder="1" applyFont="1" applyNumberFormat="1">
      <alignment horizontal="center" shrinkToFit="0" vertical="bottom" wrapText="0"/>
    </xf>
    <xf borderId="1" fillId="28" fontId="23" numFmtId="174" xfId="0" applyAlignment="1" applyBorder="1" applyFont="1" applyNumberFormat="1">
      <alignment horizontal="center" shrinkToFit="0" vertical="bottom" wrapText="0"/>
    </xf>
    <xf borderId="1" fillId="43" fontId="44" numFmtId="0" xfId="0" applyAlignment="1" applyBorder="1" applyFont="1">
      <alignment horizontal="center" shrinkToFit="0" vertical="bottom" wrapText="0"/>
    </xf>
    <xf borderId="2" fillId="3" fontId="60" numFmtId="0" xfId="0" applyAlignment="1" applyBorder="1" applyFont="1">
      <alignment readingOrder="0" vertical="center"/>
    </xf>
    <xf borderId="2" fillId="3" fontId="23" numFmtId="0" xfId="0" applyAlignment="1" applyBorder="1" applyFont="1">
      <alignment horizontal="center" shrinkToFit="0" vertical="center" wrapText="1"/>
    </xf>
    <xf borderId="3" fillId="3" fontId="7" numFmtId="0" xfId="0" applyBorder="1" applyFont="1"/>
    <xf borderId="4" fillId="3" fontId="7" numFmtId="0" xfId="0" applyBorder="1" applyFont="1"/>
    <xf borderId="1" fillId="43" fontId="61" numFmtId="0" xfId="0" applyAlignment="1" applyBorder="1" applyFont="1">
      <alignment horizontal="center" readingOrder="0" shrinkToFit="0" vertical="center" wrapText="1"/>
    </xf>
    <xf borderId="1" fillId="43" fontId="44" numFmtId="3" xfId="0" applyAlignment="1" applyBorder="1" applyFont="1" applyNumberFormat="1">
      <alignment horizontal="center" readingOrder="0" shrinkToFit="0" vertical="bottom" wrapText="0"/>
    </xf>
    <xf borderId="2" fillId="3" fontId="14" numFmtId="0" xfId="0" applyAlignment="1" applyBorder="1" applyFont="1">
      <alignment readingOrder="0"/>
    </xf>
    <xf borderId="2" fillId="3" fontId="23" numFmtId="0" xfId="0" applyAlignment="1" applyBorder="1" applyFont="1">
      <alignment horizontal="center" readingOrder="0" shrinkToFit="0" vertical="center" wrapText="1"/>
    </xf>
    <xf borderId="1" fillId="28" fontId="23" numFmtId="3" xfId="0" applyAlignment="1" applyBorder="1" applyFont="1" applyNumberFormat="1">
      <alignment horizontal="center" readingOrder="0" shrinkToFit="0" vertical="bottom" wrapText="0"/>
    </xf>
    <xf borderId="33" fillId="0" fontId="62" numFmtId="0" xfId="0" applyAlignment="1" applyBorder="1" applyFont="1">
      <alignment horizontal="center" readingOrder="0" shrinkToFit="0" vertical="center" wrapText="1"/>
    </xf>
    <xf borderId="39" fillId="0" fontId="7" numFmtId="0" xfId="0" applyBorder="1" applyFont="1"/>
    <xf borderId="40" fillId="0" fontId="7" numFmtId="0" xfId="0" applyBorder="1" applyFont="1"/>
    <xf borderId="17" fillId="3" fontId="7" numFmtId="0" xfId="0" applyBorder="1" applyFont="1"/>
    <xf borderId="2" fillId="3" fontId="61" numFmtId="0" xfId="0" applyAlignment="1" applyBorder="1" applyFont="1">
      <alignment shrinkToFit="0" vertical="center" wrapText="1"/>
    </xf>
    <xf borderId="0" fillId="3" fontId="22" numFmtId="0" xfId="0" applyFont="1"/>
    <xf borderId="0" fillId="3" fontId="63" numFmtId="0" xfId="0" applyAlignment="1" applyFont="1">
      <alignment shrinkToFit="0" vertical="center" wrapText="1"/>
    </xf>
    <xf borderId="0" fillId="3" fontId="22" numFmtId="0" xfId="0" applyAlignment="1" applyFont="1">
      <alignment horizontal="center"/>
    </xf>
    <xf borderId="0" fillId="3" fontId="22" numFmtId="3" xfId="0" applyFont="1" applyNumberFormat="1"/>
    <xf borderId="0" fillId="3" fontId="48" numFmtId="0" xfId="0" applyAlignment="1" applyFont="1">
      <alignment readingOrder="0"/>
    </xf>
    <xf borderId="0" fillId="3" fontId="22" numFmtId="3" xfId="0" applyAlignment="1" applyFont="1" applyNumberFormat="1">
      <alignment horizontal="center"/>
    </xf>
    <xf borderId="0" fillId="0" fontId="22" numFmtId="0" xfId="0" applyFont="1"/>
    <xf borderId="0" fillId="3" fontId="61" numFmtId="0" xfId="0" applyAlignment="1" applyFont="1">
      <alignment shrinkToFit="0" vertical="center" wrapText="1"/>
    </xf>
    <xf borderId="9" fillId="42" fontId="64" numFmtId="0" xfId="0" applyAlignment="1" applyBorder="1" applyFont="1">
      <alignment horizontal="center" readingOrder="0" vertical="center"/>
    </xf>
    <xf borderId="1" fillId="44" fontId="61" numFmtId="0" xfId="0" applyAlignment="1" applyBorder="1" applyFont="1">
      <alignment horizontal="center" readingOrder="0" shrinkToFit="0" vertical="center" wrapText="1"/>
    </xf>
    <xf borderId="1" fillId="44" fontId="65" numFmtId="0" xfId="0" applyAlignment="1" applyBorder="1" applyFont="1">
      <alignment horizontal="center" readingOrder="0"/>
    </xf>
    <xf borderId="1" fillId="44" fontId="65" numFmtId="3" xfId="0" applyAlignment="1" applyBorder="1" applyFont="1" applyNumberFormat="1">
      <alignment horizontal="center" readingOrder="0"/>
    </xf>
    <xf borderId="33" fillId="42" fontId="66" numFmtId="0" xfId="0" applyAlignment="1" applyBorder="1" applyFont="1">
      <alignment horizontal="center" readingOrder="0" shrinkToFit="0" vertical="center" wrapText="1"/>
    </xf>
    <xf borderId="2" fillId="3" fontId="61" numFmtId="0" xfId="0" applyAlignment="1" applyBorder="1" applyFont="1">
      <alignment horizontal="center" shrinkToFit="0" vertical="center" wrapText="1"/>
    </xf>
    <xf borderId="1" fillId="43" fontId="13" numFmtId="9" xfId="0" applyAlignment="1" applyBorder="1" applyFont="1" applyNumberFormat="1">
      <alignment horizontal="center" readingOrder="0"/>
    </xf>
    <xf borderId="1" fillId="43" fontId="13" numFmtId="3" xfId="0" applyAlignment="1" applyBorder="1" applyFont="1" applyNumberFormat="1">
      <alignment horizontal="center"/>
    </xf>
    <xf borderId="1" fillId="28" fontId="36" numFmtId="174" xfId="0" applyAlignment="1" applyBorder="1" applyFont="1" applyNumberFormat="1">
      <alignment horizontal="center"/>
    </xf>
    <xf borderId="2" fillId="3" fontId="61" numFmtId="0" xfId="0" applyAlignment="1" applyBorder="1" applyFont="1">
      <alignment horizontal="center" readingOrder="0" shrinkToFit="0" vertical="center" wrapText="1"/>
    </xf>
    <xf borderId="41" fillId="3" fontId="13" numFmtId="174" xfId="0" applyAlignment="1" applyBorder="1" applyFont="1" applyNumberFormat="1">
      <alignment horizontal="center" readingOrder="0"/>
    </xf>
    <xf borderId="1" fillId="28" fontId="36" numFmtId="174" xfId="0" applyAlignment="1" applyBorder="1" applyFont="1" applyNumberFormat="1">
      <alignment horizontal="center" readingOrder="0"/>
    </xf>
    <xf borderId="1" fillId="43" fontId="13" numFmtId="3" xfId="0" applyAlignment="1" applyBorder="1" applyFont="1" applyNumberFormat="1">
      <alignment horizontal="center" readingOrder="0"/>
    </xf>
    <xf borderId="2" fillId="3" fontId="36" numFmtId="0" xfId="0" applyAlignment="1" applyBorder="1" applyFont="1">
      <alignment readingOrder="0"/>
    </xf>
    <xf borderId="33" fillId="3" fontId="67" numFmtId="0" xfId="0" applyAlignment="1" applyBorder="1" applyFont="1">
      <alignment horizontal="center" readingOrder="0" shrinkToFit="0" vertical="center" wrapText="1"/>
    </xf>
    <xf borderId="2" fillId="3" fontId="61" numFmtId="0" xfId="0" applyAlignment="1" applyBorder="1" applyFont="1">
      <alignment horizontal="center" readingOrder="0" shrinkToFit="0" vertical="center" wrapText="0"/>
    </xf>
    <xf borderId="17" fillId="43" fontId="7" numFmtId="0" xfId="0" applyBorder="1" applyFont="1"/>
    <xf borderId="0" fillId="3" fontId="64" numFmtId="0" xfId="0" applyAlignment="1" applyFont="1">
      <alignment horizontal="center" readingOrder="0" vertical="center"/>
    </xf>
    <xf borderId="0" fillId="3" fontId="23" numFmtId="0" xfId="0" applyAlignment="1" applyFont="1">
      <alignment horizontal="center" readingOrder="0" shrinkToFit="0" vertical="center" wrapText="1"/>
    </xf>
    <xf borderId="0" fillId="3" fontId="13" numFmtId="0" xfId="0" applyAlignment="1" applyFont="1">
      <alignment horizontal="center" readingOrder="0"/>
    </xf>
    <xf borderId="0" fillId="3" fontId="13" numFmtId="174" xfId="0" applyAlignment="1" applyFont="1" applyNumberFormat="1">
      <alignment horizontal="center" readingOrder="0"/>
    </xf>
    <xf borderId="0" fillId="3" fontId="44" numFmtId="0" xfId="0" applyAlignment="1" applyFont="1">
      <alignment horizontal="center" readingOrder="0" shrinkToFit="0" vertical="bottom" wrapText="0"/>
    </xf>
    <xf borderId="0" fillId="3" fontId="23" numFmtId="0" xfId="0" applyAlignment="1" applyFont="1">
      <alignment horizontal="center" readingOrder="0" shrinkToFit="0" vertical="bottom" wrapText="0"/>
    </xf>
    <xf borderId="0" fillId="3" fontId="44" numFmtId="3" xfId="0" applyAlignment="1" applyFont="1" applyNumberFormat="1">
      <alignment horizontal="center" readingOrder="0" shrinkToFit="0" vertical="bottom" wrapText="0"/>
    </xf>
    <xf borderId="0" fillId="0" fontId="61" numFmtId="0" xfId="0" applyAlignment="1" applyFont="1">
      <alignment shrinkToFit="0" vertical="center" wrapText="1"/>
    </xf>
    <xf borderId="0" fillId="0" fontId="68" numFmtId="0" xfId="0" applyAlignment="1" applyFont="1">
      <alignment horizontal="center"/>
    </xf>
    <xf borderId="0" fillId="0" fontId="68" numFmtId="0" xfId="0" applyFont="1"/>
    <xf borderId="0" fillId="0" fontId="68" numFmtId="3" xfId="0" applyAlignment="1" applyFont="1" applyNumberFormat="1">
      <alignment horizontal="center"/>
    </xf>
    <xf borderId="9" fillId="45" fontId="69" numFmtId="0" xfId="0" applyAlignment="1" applyBorder="1" applyFont="1">
      <alignment horizontal="center" readingOrder="0" shrinkToFit="0" vertical="center" wrapText="1"/>
    </xf>
    <xf borderId="1" fillId="44" fontId="68" numFmtId="3" xfId="0" applyAlignment="1" applyBorder="1" applyFont="1" applyNumberFormat="1">
      <alignment horizontal="center" readingOrder="0"/>
    </xf>
    <xf borderId="37" fillId="0" fontId="7" numFmtId="0" xfId="0" applyBorder="1" applyFont="1"/>
    <xf borderId="2" fillId="0" fontId="61" numFmtId="0" xfId="0" applyAlignment="1" applyBorder="1" applyFont="1">
      <alignment horizontal="center" readingOrder="0" shrinkToFit="0" vertical="center" wrapText="1"/>
    </xf>
    <xf borderId="2" fillId="45" fontId="36" numFmtId="0" xfId="0" applyAlignment="1" applyBorder="1" applyFont="1">
      <alignment horizontal="center" readingOrder="0"/>
    </xf>
    <xf borderId="1" fillId="43" fontId="70" numFmtId="9" xfId="0" applyAlignment="1" applyBorder="1" applyFont="1" applyNumberFormat="1">
      <alignment horizontal="center" readingOrder="0"/>
    </xf>
    <xf borderId="1" fillId="43" fontId="70" numFmtId="174" xfId="0" applyAlignment="1" applyBorder="1" applyFont="1" applyNumberFormat="1">
      <alignment horizontal="center"/>
    </xf>
    <xf borderId="1" fillId="28" fontId="71" numFmtId="174" xfId="0" applyAlignment="1" applyBorder="1" applyFont="1" applyNumberFormat="1">
      <alignment horizontal="center"/>
    </xf>
    <xf borderId="1" fillId="43" fontId="70" numFmtId="3" xfId="0" applyAlignment="1" applyBorder="1" applyFont="1" applyNumberFormat="1">
      <alignment horizontal="center" readingOrder="0"/>
    </xf>
    <xf borderId="2" fillId="0" fontId="36" numFmtId="0" xfId="0" applyAlignment="1" applyBorder="1" applyFont="1">
      <alignment readingOrder="0"/>
    </xf>
    <xf borderId="2" fillId="43" fontId="23" numFmtId="0" xfId="0" applyAlignment="1" applyBorder="1" applyFont="1">
      <alignment horizontal="center" shrinkToFit="0" vertical="center" wrapText="1"/>
    </xf>
    <xf borderId="1" fillId="43" fontId="70" numFmtId="3" xfId="0" applyAlignment="1" applyBorder="1" applyFont="1" applyNumberFormat="1">
      <alignment horizontal="center"/>
    </xf>
    <xf borderId="2" fillId="0" fontId="13" numFmtId="0" xfId="0" applyBorder="1" applyFont="1"/>
    <xf borderId="2" fillId="43" fontId="23" numFmtId="0" xfId="0" applyAlignment="1" applyBorder="1" applyFont="1">
      <alignment horizontal="center" readingOrder="0" shrinkToFit="0" vertical="center" wrapText="1"/>
    </xf>
    <xf borderId="1" fillId="5" fontId="71" numFmtId="174" xfId="0" applyAlignment="1" applyBorder="1" applyFont="1" applyNumberFormat="1">
      <alignment horizontal="center"/>
    </xf>
    <xf borderId="36" fillId="0" fontId="61" numFmtId="0" xfId="0" applyAlignment="1" applyBorder="1" applyFont="1">
      <alignment shrinkToFit="0" vertical="center" wrapText="1"/>
    </xf>
    <xf borderId="0" fillId="0" fontId="36" numFmtId="0" xfId="0" applyFont="1"/>
    <xf borderId="0" fillId="0" fontId="13" numFmtId="0" xfId="0" applyAlignment="1" applyFont="1">
      <alignment horizontal="center" readingOrder="0"/>
    </xf>
    <xf borderId="1" fillId="28" fontId="72" numFmtId="0" xfId="0" applyAlignment="1" applyBorder="1" applyFont="1">
      <alignment horizontal="center" readingOrder="0"/>
    </xf>
    <xf borderId="1" fillId="28" fontId="73" numFmtId="0" xfId="0" applyAlignment="1" applyBorder="1" applyFont="1">
      <alignment horizontal="center" readingOrder="0" shrinkToFit="0" vertical="center" wrapText="1"/>
    </xf>
    <xf borderId="1" fillId="28" fontId="73" numFmtId="0" xfId="0" applyAlignment="1" applyBorder="1" applyFont="1">
      <alignment horizontal="center" readingOrder="0"/>
    </xf>
    <xf borderId="1" fillId="28" fontId="73" numFmtId="3" xfId="0" applyAlignment="1" applyBorder="1" applyFont="1" applyNumberFormat="1">
      <alignment horizontal="center" readingOrder="0"/>
    </xf>
    <xf borderId="2" fillId="28" fontId="73" numFmtId="0" xfId="0" applyAlignment="1" applyBorder="1" applyFont="1">
      <alignment horizontal="center" readingOrder="0"/>
    </xf>
    <xf borderId="1" fillId="33" fontId="36" numFmtId="0" xfId="0" applyAlignment="1" applyBorder="1" applyFont="1">
      <alignment horizontal="center" readingOrder="0"/>
    </xf>
    <xf borderId="1" fillId="13" fontId="42" numFmtId="164" xfId="0" applyAlignment="1" applyBorder="1" applyFont="1" applyNumberFormat="1">
      <alignment horizontal="center" readingOrder="0" shrinkToFit="0" vertical="center" wrapText="1"/>
    </xf>
    <xf borderId="1" fillId="0" fontId="42" numFmtId="164" xfId="0" applyAlignment="1" applyBorder="1" applyFont="1" applyNumberFormat="1">
      <alignment horizontal="center" readingOrder="0"/>
    </xf>
    <xf borderId="1" fillId="13" fontId="42" numFmtId="173" xfId="0" applyAlignment="1" applyBorder="1" applyFont="1" applyNumberFormat="1">
      <alignment horizontal="center" readingOrder="0"/>
    </xf>
    <xf borderId="1" fillId="3" fontId="42" numFmtId="173" xfId="0" applyAlignment="1" applyBorder="1" applyFont="1" applyNumberFormat="1">
      <alignment horizontal="center" readingOrder="0"/>
    </xf>
    <xf borderId="2" fillId="3" fontId="13" numFmtId="173" xfId="0" applyAlignment="1" applyBorder="1" applyFont="1" applyNumberFormat="1">
      <alignment horizontal="center" readingOrder="0"/>
    </xf>
    <xf borderId="2" fillId="13" fontId="36" numFmtId="173" xfId="0" applyAlignment="1" applyBorder="1" applyFont="1" applyNumberFormat="1">
      <alignment horizontal="center"/>
    </xf>
    <xf borderId="1" fillId="44" fontId="36" numFmtId="0" xfId="0" applyAlignment="1" applyBorder="1" applyFont="1">
      <alignment horizontal="center" readingOrder="0"/>
    </xf>
    <xf borderId="0" fillId="0" fontId="42" numFmtId="0" xfId="0" applyAlignment="1" applyFont="1">
      <alignment horizontal="center" readingOrder="0"/>
    </xf>
    <xf borderId="0" fillId="0" fontId="42" numFmtId="0" xfId="0" applyFont="1"/>
    <xf borderId="0" fillId="0" fontId="42" numFmtId="175" xfId="0" applyAlignment="1" applyFont="1" applyNumberFormat="1">
      <alignment readingOrder="0"/>
    </xf>
    <xf borderId="0" fillId="0" fontId="61" numFmtId="0" xfId="0" applyFont="1"/>
    <xf borderId="0" fillId="0" fontId="42" numFmtId="175" xfId="0" applyAlignment="1" applyFont="1" applyNumberFormat="1">
      <alignment horizontal="center" readingOrder="0"/>
    </xf>
    <xf borderId="0" fillId="0" fontId="13" numFmtId="175" xfId="0" applyAlignment="1" applyFont="1" applyNumberFormat="1">
      <alignment readingOrder="0"/>
    </xf>
    <xf borderId="0" fillId="0" fontId="42" numFmtId="0" xfId="0" applyAlignment="1" applyFont="1">
      <alignment horizontal="center"/>
    </xf>
    <xf borderId="0" fillId="0" fontId="61" numFmtId="0" xfId="0" applyAlignment="1" applyFont="1">
      <alignment readingOrder="0" shrinkToFit="0" vertical="center" wrapText="1"/>
    </xf>
    <xf borderId="0" fillId="3" fontId="42" numFmtId="175" xfId="0" applyAlignment="1" applyFont="1" applyNumberFormat="1">
      <alignment readingOrder="0"/>
    </xf>
    <xf borderId="1" fillId="2" fontId="74" numFmtId="0" xfId="0" applyAlignment="1" applyBorder="1" applyFont="1">
      <alignment horizontal="center" readingOrder="0" shrinkToFit="0" vertical="center" wrapText="1"/>
    </xf>
    <xf borderId="1" fillId="2" fontId="74" numFmtId="0" xfId="0" applyAlignment="1" applyBorder="1" applyFont="1">
      <alignment horizontal="center" readingOrder="0" vertical="center"/>
    </xf>
    <xf borderId="0" fillId="3" fontId="10" numFmtId="0" xfId="0" applyAlignment="1" applyFont="1">
      <alignment horizontal="center" vertical="center"/>
    </xf>
    <xf borderId="0" fillId="13" fontId="13" numFmtId="0" xfId="0" applyAlignment="1" applyFont="1">
      <alignment readingOrder="0" shrinkToFit="0" vertical="center" wrapText="1"/>
    </xf>
    <xf borderId="0" fillId="3" fontId="74" numFmtId="0" xfId="0" applyAlignment="1" applyFont="1">
      <alignment horizontal="center" readingOrder="0" vertical="center"/>
    </xf>
    <xf borderId="0" fillId="3" fontId="74" numFmtId="0" xfId="0" applyAlignment="1" applyFont="1">
      <alignment horizontal="center" vertical="center"/>
    </xf>
    <xf borderId="0" fillId="3" fontId="75" numFmtId="0" xfId="0" applyAlignment="1" applyFont="1">
      <alignment horizontal="center"/>
    </xf>
    <xf borderId="1" fillId="48" fontId="76" numFmtId="0" xfId="0" applyAlignment="1" applyBorder="1" applyFont="1">
      <alignment horizontal="left" readingOrder="0" vertical="center"/>
    </xf>
    <xf borderId="1" fillId="3" fontId="36" numFmtId="164" xfId="0" applyAlignment="1" applyBorder="1" applyFont="1" applyNumberFormat="1">
      <alignment horizontal="center" readingOrder="0" vertical="center"/>
    </xf>
    <xf borderId="1" fillId="3" fontId="19" numFmtId="164" xfId="0" applyAlignment="1" applyBorder="1" applyFont="1" applyNumberFormat="1">
      <alignment horizontal="center" readingOrder="0" vertical="center"/>
    </xf>
    <xf borderId="0" fillId="3" fontId="77" numFmtId="0" xfId="0" applyAlignment="1" applyFont="1">
      <alignment horizontal="left" readingOrder="0" vertical="center"/>
    </xf>
    <xf borderId="0" fillId="3" fontId="11" numFmtId="164" xfId="0" applyAlignment="1" applyFont="1" applyNumberFormat="1">
      <alignment horizontal="center" readingOrder="0" vertical="center"/>
    </xf>
    <xf borderId="0" fillId="3" fontId="12" numFmtId="164" xfId="0" applyAlignment="1" applyFont="1" applyNumberFormat="1">
      <alignment horizontal="center"/>
    </xf>
    <xf borderId="1" fillId="20" fontId="36" numFmtId="164" xfId="0" applyAlignment="1" applyBorder="1" applyFont="1" applyNumberFormat="1">
      <alignment horizontal="center" readingOrder="0" vertical="center"/>
    </xf>
    <xf borderId="1" fillId="2" fontId="76" numFmtId="0" xfId="0" applyAlignment="1" applyBorder="1" applyFont="1">
      <alignment horizontal="left" readingOrder="0" vertical="center"/>
    </xf>
    <xf borderId="1" fillId="20" fontId="19" numFmtId="164" xfId="0" applyAlignment="1" applyBorder="1" applyFont="1" applyNumberFormat="1">
      <alignment horizontal="center" readingOrder="0" vertical="center"/>
    </xf>
    <xf borderId="0" fillId="8" fontId="36" numFmtId="0" xfId="0" applyAlignment="1" applyFont="1">
      <alignment readingOrder="0"/>
    </xf>
    <xf borderId="0" fillId="8" fontId="78" numFmtId="0" xfId="0" applyAlignment="1" applyFont="1">
      <alignment readingOrder="0"/>
    </xf>
    <xf borderId="0" fillId="8" fontId="13" numFmtId="0" xfId="0" applyAlignment="1" applyFont="1">
      <alignment readingOrder="0"/>
    </xf>
    <xf borderId="1" fillId="20" fontId="50" numFmtId="164" xfId="0" applyAlignment="1" applyBorder="1" applyFont="1" applyNumberFormat="1">
      <alignment horizontal="center" readingOrder="0" vertical="center"/>
    </xf>
    <xf borderId="0" fillId="3" fontId="14" numFmtId="164" xfId="0" applyAlignment="1" applyFont="1" applyNumberFormat="1">
      <alignment horizontal="center" readingOrder="0" vertical="center"/>
    </xf>
    <xf borderId="0" fillId="3" fontId="11" numFmtId="164" xfId="0" applyAlignment="1" applyFont="1" applyNumberFormat="1">
      <alignment horizontal="center"/>
    </xf>
    <xf borderId="0" fillId="3" fontId="76" numFmtId="0" xfId="0" applyAlignment="1" applyFont="1">
      <alignment horizontal="left" readingOrder="0" vertical="center"/>
    </xf>
    <xf borderId="0" fillId="3" fontId="48" numFmtId="164" xfId="0" applyAlignment="1" applyFont="1" applyNumberFormat="1">
      <alignment horizontal="center" readingOrder="0" vertical="center"/>
    </xf>
    <xf borderId="0" fillId="3" fontId="20" numFmtId="164" xfId="0" applyAlignment="1" applyFont="1" applyNumberFormat="1">
      <alignment horizontal="center" readingOrder="0" vertical="center"/>
    </xf>
    <xf borderId="0" fillId="3" fontId="79" numFmtId="0" xfId="0" applyAlignment="1" applyFont="1">
      <alignment horizontal="left" readingOrder="0" vertical="center"/>
    </xf>
    <xf borderId="0" fillId="3" fontId="13" numFmtId="164" xfId="0" applyAlignment="1" applyFont="1" applyNumberFormat="1">
      <alignment horizontal="center" readingOrder="0" vertical="center"/>
    </xf>
    <xf borderId="0" fillId="3" fontId="80" numFmtId="164" xfId="0" applyAlignment="1" applyFont="1" applyNumberFormat="1">
      <alignment readingOrder="0"/>
    </xf>
    <xf borderId="0" fillId="0" fontId="13" numFmtId="0" xfId="0" applyAlignment="1" applyFont="1">
      <alignment horizontal="left"/>
    </xf>
    <xf borderId="9" fillId="17" fontId="81" numFmtId="0" xfId="0" applyAlignment="1" applyBorder="1" applyFont="1">
      <alignment horizontal="center" readingOrder="0" vertical="center"/>
    </xf>
    <xf borderId="0" fillId="2" fontId="82" numFmtId="0" xfId="0" applyAlignment="1" applyFont="1">
      <alignment horizontal="center" readingOrder="0" vertical="center"/>
    </xf>
    <xf borderId="39" fillId="0" fontId="83" numFmtId="0" xfId="0" applyAlignment="1" applyBorder="1" applyFont="1">
      <alignment horizontal="center" readingOrder="0" shrinkToFit="0" vertical="center" wrapText="0"/>
    </xf>
    <xf borderId="9" fillId="52" fontId="8" numFmtId="0" xfId="0" applyAlignment="1" applyBorder="1" applyFill="1" applyFont="1">
      <alignment horizontal="center" readingOrder="0" vertical="center"/>
    </xf>
    <xf borderId="0" fillId="52" fontId="84" numFmtId="0" xfId="0" applyAlignment="1" applyFont="1">
      <alignment horizontal="center" readingOrder="0" vertical="center"/>
    </xf>
    <xf borderId="2" fillId="48" fontId="85" numFmtId="0" xfId="0" applyAlignment="1" applyBorder="1" applyFont="1">
      <alignment horizontal="center" readingOrder="0" vertical="center"/>
    </xf>
    <xf borderId="2" fillId="48" fontId="86" numFmtId="0" xfId="0" applyAlignment="1" applyBorder="1" applyFont="1">
      <alignment horizontal="center" readingOrder="0" shrinkToFit="0" vertical="center" wrapText="1"/>
    </xf>
    <xf borderId="39" fillId="0" fontId="26" numFmtId="0" xfId="0" applyAlignment="1" applyBorder="1" applyFont="1">
      <alignment horizontal="center" readingOrder="0" shrinkToFit="0" vertical="center" wrapText="0"/>
    </xf>
    <xf borderId="2" fillId="53" fontId="55" numFmtId="0" xfId="0" applyAlignment="1" applyBorder="1" applyFill="1" applyFont="1">
      <alignment horizontal="center" readingOrder="0" vertical="center"/>
    </xf>
    <xf borderId="1" fillId="53" fontId="0" numFmtId="0" xfId="0" applyAlignment="1" applyBorder="1" applyFont="1">
      <alignment horizontal="center" readingOrder="0" shrinkToFit="0" vertical="center" wrapText="1"/>
    </xf>
    <xf borderId="0" fillId="0" fontId="70" numFmtId="0" xfId="0" applyFont="1"/>
    <xf borderId="9" fillId="48" fontId="87" numFmtId="0" xfId="0" applyAlignment="1" applyBorder="1" applyFont="1">
      <alignment horizontal="center" readingOrder="0" shrinkToFit="0" vertical="center" wrapText="1"/>
    </xf>
    <xf borderId="2" fillId="3" fontId="8" numFmtId="0" xfId="0" applyAlignment="1" applyBorder="1" applyFont="1">
      <alignment readingOrder="0"/>
    </xf>
    <xf borderId="2" fillId="3" fontId="36" numFmtId="0" xfId="0" applyAlignment="1" applyBorder="1" applyFont="1">
      <alignment horizontal="center" readingOrder="0"/>
    </xf>
    <xf borderId="39" fillId="0" fontId="13" numFmtId="0" xfId="0" applyAlignment="1" applyBorder="1" applyFont="1">
      <alignment readingOrder="0" shrinkToFit="0" wrapText="0"/>
    </xf>
    <xf borderId="9" fillId="54" fontId="8" numFmtId="0" xfId="0" applyAlignment="1" applyBorder="1" applyFill="1" applyFont="1">
      <alignment horizontal="center" readingOrder="0" shrinkToFit="0" vertical="center" wrapText="1"/>
    </xf>
    <xf borderId="1" fillId="3" fontId="36" numFmtId="0" xfId="0" applyAlignment="1" applyBorder="1" applyFont="1">
      <alignment horizontal="center" readingOrder="0"/>
    </xf>
    <xf borderId="1" fillId="13" fontId="8" numFmtId="0" xfId="0" applyAlignment="1" applyBorder="1" applyFont="1">
      <alignment readingOrder="0"/>
    </xf>
    <xf borderId="2" fillId="13" fontId="36" numFmtId="0" xfId="0" applyAlignment="1" applyBorder="1" applyFont="1">
      <alignment horizontal="center" readingOrder="0"/>
    </xf>
    <xf borderId="1" fillId="13" fontId="36" numFmtId="0" xfId="0" applyAlignment="1" applyBorder="1" applyFont="1">
      <alignment horizontal="center" readingOrder="0"/>
    </xf>
    <xf borderId="1" fillId="3" fontId="8" numFmtId="0" xfId="0" applyAlignment="1" applyBorder="1" applyFont="1">
      <alignment readingOrder="0"/>
    </xf>
    <xf borderId="39" fillId="0" fontId="13" numFmtId="0" xfId="0" applyAlignment="1" applyBorder="1" applyFont="1">
      <alignment horizontal="center" readingOrder="0" shrinkToFit="0" wrapText="0"/>
    </xf>
    <xf borderId="9" fillId="13" fontId="62" numFmtId="0" xfId="0" applyAlignment="1" applyBorder="1" applyFont="1">
      <alignment readingOrder="0"/>
    </xf>
    <xf borderId="33" fillId="13" fontId="36" numFmtId="0" xfId="0" applyAlignment="1" applyBorder="1" applyFont="1">
      <alignment horizontal="center" readingOrder="0"/>
    </xf>
    <xf borderId="0" fillId="3" fontId="8" numFmtId="0" xfId="0" applyAlignment="1" applyFont="1">
      <alignment readingOrder="0"/>
    </xf>
    <xf borderId="9" fillId="13" fontId="36" numFmtId="0" xfId="0" applyAlignment="1" applyBorder="1" applyFont="1">
      <alignment horizontal="center" readingOrder="0"/>
    </xf>
    <xf borderId="9" fillId="3" fontId="62" numFmtId="0" xfId="0" applyAlignment="1" applyBorder="1" applyFont="1">
      <alignment readingOrder="0"/>
    </xf>
    <xf borderId="33" fillId="3" fontId="36" numFmtId="0" xfId="0" applyAlignment="1" applyBorder="1" applyFont="1">
      <alignment horizontal="center" readingOrder="0"/>
    </xf>
    <xf borderId="9" fillId="3" fontId="36" numFmtId="0" xfId="0" applyAlignment="1" applyBorder="1" applyFont="1">
      <alignment horizontal="center" readingOrder="0"/>
    </xf>
    <xf borderId="1" fillId="54" fontId="8" numFmtId="0" xfId="0" applyAlignment="1" applyBorder="1" applyFont="1">
      <alignment horizontal="center" readingOrder="0" shrinkToFit="0" vertical="center" wrapText="1"/>
    </xf>
    <xf borderId="9" fillId="2" fontId="87" numFmtId="0" xfId="0" applyAlignment="1" applyBorder="1" applyFont="1">
      <alignment horizontal="center" readingOrder="0" shrinkToFit="0" vertical="center" wrapText="1"/>
    </xf>
    <xf borderId="1" fillId="3" fontId="62" numFmtId="0" xfId="0" applyAlignment="1" applyBorder="1" applyFont="1">
      <alignment readingOrder="0"/>
    </xf>
    <xf borderId="9" fillId="53" fontId="8" numFmtId="0" xfId="0" applyAlignment="1" applyBorder="1" applyFont="1">
      <alignment horizontal="center" readingOrder="0" shrinkToFit="0" vertical="center" wrapText="1"/>
    </xf>
    <xf borderId="17" fillId="13" fontId="62" numFmtId="0" xfId="0" applyAlignment="1" applyBorder="1" applyFont="1">
      <alignment readingOrder="0"/>
    </xf>
    <xf borderId="35" fillId="13" fontId="36" numFmtId="0" xfId="0" applyAlignment="1" applyBorder="1" applyFont="1">
      <alignment horizontal="center" readingOrder="0"/>
    </xf>
    <xf borderId="17" fillId="13" fontId="36" numFmtId="0" xfId="0" applyAlignment="1" applyBorder="1" applyFont="1">
      <alignment horizontal="center" readingOrder="0"/>
    </xf>
    <xf borderId="35" fillId="3" fontId="36" numFmtId="0" xfId="0" applyAlignment="1" applyBorder="1" applyFont="1">
      <alignment horizontal="center" readingOrder="0"/>
    </xf>
    <xf borderId="17" fillId="3" fontId="36" numFmtId="0" xfId="0" applyAlignment="1" applyBorder="1" applyFont="1">
      <alignment horizontal="center" readingOrder="0"/>
    </xf>
    <xf borderId="1" fillId="13" fontId="62" numFmtId="0" xfId="0" applyAlignment="1" applyBorder="1" applyFont="1">
      <alignment readingOrder="0"/>
    </xf>
    <xf borderId="1" fillId="8" fontId="62" numFmtId="0" xfId="0" applyAlignment="1" applyBorder="1" applyFont="1">
      <alignment readingOrder="0"/>
    </xf>
    <xf borderId="2" fillId="8" fontId="36" numFmtId="0" xfId="0" applyAlignment="1" applyBorder="1" applyFont="1">
      <alignment horizontal="center" readingOrder="0"/>
    </xf>
    <xf borderId="1" fillId="3" fontId="62" numFmtId="0" xfId="0" applyAlignment="1" applyBorder="1" applyFont="1">
      <alignment horizontal="left" readingOrder="0"/>
    </xf>
    <xf borderId="1" fillId="48" fontId="87" numFmtId="0" xfId="0" applyAlignment="1" applyBorder="1" applyFont="1">
      <alignment horizontal="center" readingOrder="0" vertical="center"/>
    </xf>
    <xf borderId="1" fillId="54" fontId="8" numFmtId="0" xfId="0" applyAlignment="1" applyBorder="1" applyFont="1">
      <alignment horizontal="center" readingOrder="0" vertical="center"/>
    </xf>
    <xf borderId="37" fillId="2" fontId="87" numFmtId="0" xfId="0" applyAlignment="1" applyBorder="1" applyFont="1">
      <alignment horizontal="center" readingOrder="0" shrinkToFit="0" vertical="center" wrapText="1"/>
    </xf>
    <xf borderId="37" fillId="53" fontId="8" numFmtId="0" xfId="0" applyAlignment="1" applyBorder="1" applyFont="1">
      <alignment horizontal="center" readingOrder="0" shrinkToFit="0" vertical="center" wrapText="1"/>
    </xf>
    <xf borderId="37" fillId="48" fontId="87" numFmtId="0" xfId="0" applyAlignment="1" applyBorder="1" applyFont="1">
      <alignment horizontal="center" readingOrder="0" shrinkToFit="0" vertical="center" wrapText="0"/>
    </xf>
    <xf borderId="37" fillId="53" fontId="8" numFmtId="0" xfId="0" applyAlignment="1" applyBorder="1" applyFont="1">
      <alignment horizontal="center" readingOrder="0" shrinkToFit="0" vertical="center" wrapText="0"/>
    </xf>
    <xf borderId="4" fillId="13" fontId="62" numFmtId="0" xfId="0" applyAlignment="1" applyBorder="1" applyFont="1">
      <alignment readingOrder="0"/>
    </xf>
    <xf borderId="4" fillId="3" fontId="62" numFmtId="0" xfId="0" applyAlignment="1" applyBorder="1" applyFont="1">
      <alignment readingOrder="0"/>
    </xf>
    <xf borderId="2" fillId="3" fontId="36" numFmtId="0" xfId="0" applyAlignment="1" applyBorder="1" applyFont="1">
      <alignment horizontal="center" readingOrder="0" vertical="center"/>
    </xf>
    <xf borderId="39" fillId="0" fontId="13" numFmtId="0" xfId="0" applyAlignment="1" applyBorder="1" applyFont="1">
      <alignment horizontal="center" readingOrder="0" shrinkToFit="0" vertical="center" wrapText="0"/>
    </xf>
    <xf borderId="0" fillId="3" fontId="87" numFmtId="0" xfId="0" applyAlignment="1" applyFont="1">
      <alignment horizontal="center" readingOrder="0" shrinkToFit="0" vertical="center" wrapText="1"/>
    </xf>
    <xf borderId="0" fillId="3" fontId="62" numFmtId="0" xfId="0" applyAlignment="1" applyFont="1">
      <alignment readingOrder="0"/>
    </xf>
    <xf borderId="0" fillId="3" fontId="36" numFmtId="0" xfId="0" applyAlignment="1" applyFont="1">
      <alignment horizontal="center" readingOrder="0" vertical="center"/>
    </xf>
    <xf borderId="0" fillId="3" fontId="60" numFmtId="0" xfId="0" applyAlignment="1" applyFont="1">
      <alignment horizontal="center" readingOrder="0"/>
    </xf>
    <xf borderId="1" fillId="3" fontId="36" numFmtId="0" xfId="0" applyAlignment="1" applyBorder="1" applyFont="1">
      <alignment horizontal="center" readingOrder="0" vertical="center"/>
    </xf>
    <xf borderId="4" fillId="8" fontId="62" numFmtId="0" xfId="0" applyAlignment="1" applyBorder="1" applyFont="1">
      <alignment readingOrder="0"/>
    </xf>
    <xf borderId="2" fillId="8" fontId="36" numFmtId="0" xfId="0" applyAlignment="1" applyBorder="1" applyFont="1">
      <alignment horizontal="center" readingOrder="0" vertical="center"/>
    </xf>
    <xf borderId="1" fillId="8" fontId="36" numFmtId="0" xfId="0" applyAlignment="1" applyBorder="1" applyFont="1">
      <alignment horizontal="center" readingOrder="0" vertical="center"/>
    </xf>
    <xf borderId="37" fillId="2" fontId="87" numFmtId="0" xfId="0" applyAlignment="1" applyBorder="1" applyFont="1">
      <alignment horizontal="center" readingOrder="0" shrinkToFit="0" textRotation="0" vertical="center" wrapText="1"/>
    </xf>
    <xf borderId="18" fillId="2" fontId="87" numFmtId="0" xfId="0" applyAlignment="1" applyBorder="1" applyFont="1">
      <alignment horizontal="center" readingOrder="0" shrinkToFit="0" vertical="center" wrapText="1"/>
    </xf>
    <xf borderId="1" fillId="3" fontId="60" numFmtId="0" xfId="0" applyAlignment="1" applyBorder="1" applyFont="1">
      <alignment horizontal="center" readingOrder="0"/>
    </xf>
    <xf borderId="37" fillId="53" fontId="8" numFmtId="0" xfId="0" applyAlignment="1" applyBorder="1" applyFont="1">
      <alignment horizontal="center" readingOrder="0" shrinkToFit="0" textRotation="0" vertical="center" wrapText="1"/>
    </xf>
    <xf borderId="2" fillId="13" fontId="36" numFmtId="0" xfId="0" applyAlignment="1" applyBorder="1" applyFont="1">
      <alignment horizontal="center" readingOrder="0" vertical="center"/>
    </xf>
    <xf borderId="2" fillId="13" fontId="62" numFmtId="0" xfId="0" applyAlignment="1" applyBorder="1" applyFont="1">
      <alignment readingOrder="0"/>
    </xf>
    <xf borderId="1" fillId="13" fontId="60" numFmtId="0" xfId="0" applyAlignment="1" applyBorder="1" applyFont="1">
      <alignment horizontal="center" readingOrder="0"/>
    </xf>
    <xf borderId="1" fillId="13" fontId="36" numFmtId="0" xfId="0" applyAlignment="1" applyBorder="1" applyFont="1">
      <alignment horizontal="center" readingOrder="0" vertical="center"/>
    </xf>
    <xf borderId="2" fillId="3" fontId="62" numFmtId="0" xfId="0" applyAlignment="1" applyBorder="1" applyFont="1">
      <alignment readingOrder="0"/>
    </xf>
    <xf borderId="2" fillId="13" fontId="60" numFmtId="0" xfId="0" applyAlignment="1" applyBorder="1" applyFont="1">
      <alignment horizontal="center" readingOrder="0"/>
    </xf>
    <xf borderId="39" fillId="0" fontId="13" numFmtId="0" xfId="0" applyBorder="1" applyFont="1"/>
    <xf borderId="2" fillId="3" fontId="60" numFmtId="0" xfId="0" applyAlignment="1" applyBorder="1" applyFont="1">
      <alignment horizontal="center" readingOrder="0"/>
    </xf>
    <xf borderId="35" fillId="3" fontId="62" numFmtId="0" xfId="0" applyAlignment="1" applyBorder="1" applyFont="1">
      <alignment readingOrder="0"/>
    </xf>
    <xf borderId="2" fillId="0" fontId="62" numFmtId="0" xfId="0" applyAlignment="1" applyBorder="1" applyFont="1">
      <alignment readingOrder="0"/>
    </xf>
    <xf borderId="2" fillId="0" fontId="36" numFmtId="0" xfId="0" applyAlignment="1" applyBorder="1" applyFont="1">
      <alignment horizontal="center" readingOrder="0"/>
    </xf>
    <xf borderId="0" fillId="55" fontId="48" numFmtId="0" xfId="0" applyAlignment="1" applyFill="1" applyFont="1">
      <alignment readingOrder="0"/>
    </xf>
    <xf borderId="2" fillId="0" fontId="60" numFmtId="0" xfId="0" applyAlignment="1" applyBorder="1" applyFont="1">
      <alignment horizontal="center" readingOrder="0"/>
    </xf>
    <xf borderId="18" fillId="54" fontId="8" numFmtId="0" xfId="0" applyAlignment="1" applyBorder="1" applyFont="1">
      <alignment horizontal="center" readingOrder="0" shrinkToFit="0" vertical="center" wrapText="1"/>
    </xf>
    <xf borderId="40" fillId="2" fontId="87" numFmtId="0" xfId="0" applyAlignment="1" applyBorder="1" applyFont="1">
      <alignment horizontal="center" readingOrder="0" vertical="center"/>
    </xf>
    <xf borderId="9" fillId="53" fontId="8" numFmtId="0" xfId="0" applyAlignment="1" applyBorder="1" applyFont="1">
      <alignment horizontal="center" readingOrder="0" vertical="center"/>
    </xf>
    <xf borderId="1" fillId="8" fontId="36" numFmtId="0" xfId="0" applyBorder="1" applyFont="1"/>
    <xf borderId="1" fillId="8" fontId="36" numFmtId="0" xfId="0" applyAlignment="1" applyBorder="1" applyFont="1">
      <alignment horizontal="center" readingOrder="0"/>
    </xf>
    <xf borderId="1" fillId="3" fontId="36" numFmtId="0" xfId="0" applyBorder="1" applyFont="1"/>
    <xf borderId="1" fillId="3" fontId="36" numFmtId="0" xfId="0" applyAlignment="1" applyBorder="1" applyFont="1">
      <alignment horizontal="center"/>
    </xf>
    <xf borderId="1" fillId="13" fontId="36" numFmtId="0" xfId="0" applyBorder="1" applyFont="1"/>
    <xf borderId="1" fillId="13" fontId="36" numFmtId="0" xfId="0" applyAlignment="1" applyBorder="1" applyFont="1">
      <alignment horizontal="center"/>
    </xf>
    <xf borderId="1" fillId="53" fontId="8" numFmtId="0" xfId="0" applyAlignment="1" applyBorder="1" applyFont="1">
      <alignment horizontal="center" readingOrder="0" shrinkToFit="0" vertical="center" wrapText="1"/>
    </xf>
    <xf borderId="0" fillId="0" fontId="13" numFmtId="0" xfId="0" applyAlignment="1" applyFont="1">
      <alignment shrinkToFit="0" wrapText="0"/>
    </xf>
    <xf borderId="1" fillId="53" fontId="10" numFmtId="0" xfId="0" applyAlignment="1" applyBorder="1" applyFont="1">
      <alignment horizontal="center" shrinkToFit="0" vertical="center" wrapText="1"/>
    </xf>
    <xf borderId="1" fillId="3" fontId="10" numFmtId="0" xfId="0" applyAlignment="1" applyBorder="1" applyFont="1">
      <alignment vertical="bottom"/>
    </xf>
    <xf borderId="1" fillId="3" fontId="11" numFmtId="0" xfId="0" applyAlignment="1" applyBorder="1" applyFont="1">
      <alignment horizontal="center" vertical="bottom"/>
    </xf>
    <xf borderId="0" fillId="0" fontId="13" numFmtId="0" xfId="0" applyAlignment="1" applyFont="1">
      <alignment readingOrder="0" shrinkToFit="0" wrapText="0"/>
    </xf>
    <xf borderId="9" fillId="53" fontId="10" numFmtId="0" xfId="0" applyAlignment="1" applyBorder="1" applyFont="1">
      <alignment horizontal="center" shrinkToFit="0" vertical="center" wrapText="1"/>
    </xf>
    <xf borderId="1" fillId="13" fontId="10" numFmtId="0" xfId="0" applyAlignment="1" applyBorder="1" applyFont="1">
      <alignment vertical="bottom"/>
    </xf>
    <xf borderId="1" fillId="13" fontId="11" numFmtId="0" xfId="0" applyAlignment="1" applyBorder="1" applyFont="1">
      <alignment horizontal="center" vertical="bottom"/>
    </xf>
    <xf borderId="4" fillId="0" fontId="13" numFmtId="0" xfId="0" applyAlignment="1" applyBorder="1" applyFont="1">
      <alignment readingOrder="0" shrinkToFit="0" wrapText="0"/>
    </xf>
    <xf borderId="37" fillId="48" fontId="87" numFmtId="0" xfId="0" applyAlignment="1" applyBorder="1" applyFont="1">
      <alignment horizontal="center" readingOrder="0" shrinkToFit="0" vertical="center" wrapText="1"/>
    </xf>
    <xf borderId="39" fillId="0" fontId="13" numFmtId="0" xfId="0" applyAlignment="1" applyBorder="1" applyFont="1">
      <alignment readingOrder="0"/>
    </xf>
    <xf borderId="1" fillId="0" fontId="13" numFmtId="0" xfId="0" applyBorder="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2" max="2" width="24.38"/>
    <col customWidth="1" min="3" max="3" width="9.5"/>
    <col customWidth="1" min="4" max="4" width="16.25"/>
    <col customWidth="1" min="5" max="5" width="11.25"/>
    <col customWidth="1" min="6" max="6" width="11.75"/>
    <col customWidth="1" min="7" max="7" width="12.5"/>
    <col customWidth="1" min="8" max="8" width="29.25"/>
    <col customWidth="1" min="9" max="9" width="10.88"/>
    <col customWidth="1" min="10" max="10" width="11.25"/>
    <col customWidth="1" min="11" max="11" width="45.38"/>
    <col customWidth="1" min="12" max="12" width="15.5"/>
    <col customWidth="1" min="13" max="13" width="12.13"/>
    <col customWidth="1" min="14" max="14" width="12.75"/>
    <col customWidth="1" min="15" max="15" width="10.88"/>
    <col customWidth="1" min="16" max="16" width="10.25"/>
    <col customWidth="1" min="17" max="17" width="16.13"/>
    <col customWidth="1" min="18" max="18" width="9.75"/>
    <col customWidth="1" min="19" max="19" width="6.88"/>
    <col customWidth="1" min="20" max="20" width="15.5"/>
    <col customWidth="1" min="21" max="21" width="9.25"/>
    <col customWidth="1" min="22" max="24" width="9.5"/>
  </cols>
  <sheetData>
    <row r="1" ht="37.5" customHeight="1">
      <c r="A1" s="1"/>
      <c r="B1" s="2" t="s">
        <v>0</v>
      </c>
      <c r="C1" s="2" t="s">
        <v>1</v>
      </c>
      <c r="D1" s="3" t="s">
        <v>2</v>
      </c>
      <c r="E1" s="4" t="s">
        <v>3</v>
      </c>
      <c r="F1" s="5" t="s">
        <v>4</v>
      </c>
      <c r="G1" s="6" t="s">
        <v>5</v>
      </c>
      <c r="H1" s="2" t="s">
        <v>6</v>
      </c>
      <c r="I1" s="7" t="s">
        <v>7</v>
      </c>
      <c r="J1" s="7" t="s">
        <v>8</v>
      </c>
      <c r="K1" s="2" t="s">
        <v>9</v>
      </c>
      <c r="L1" s="8"/>
      <c r="M1" s="9"/>
      <c r="N1" s="9"/>
      <c r="O1" s="8"/>
      <c r="P1" s="9"/>
      <c r="Q1" s="9"/>
      <c r="R1" s="9"/>
      <c r="S1" s="8"/>
      <c r="T1" s="8"/>
      <c r="U1" s="8"/>
      <c r="V1" s="8"/>
      <c r="W1" s="8"/>
      <c r="X1" s="8"/>
    </row>
    <row r="2">
      <c r="A2" s="10" t="s">
        <v>10</v>
      </c>
      <c r="B2" s="11"/>
      <c r="C2" s="11"/>
      <c r="D2" s="11"/>
      <c r="E2" s="11"/>
      <c r="F2" s="12"/>
      <c r="G2" s="10" t="s">
        <v>10</v>
      </c>
      <c r="H2" s="11"/>
      <c r="I2" s="11"/>
      <c r="J2" s="11"/>
      <c r="K2" s="12"/>
      <c r="M2" s="13"/>
      <c r="N2" s="13"/>
      <c r="P2" s="13"/>
      <c r="Q2" s="14"/>
      <c r="R2" s="14"/>
    </row>
    <row r="3">
      <c r="A3" s="15">
        <v>1.0</v>
      </c>
      <c r="B3" s="16" t="s">
        <v>11</v>
      </c>
      <c r="C3" s="17"/>
      <c r="D3" s="18">
        <v>3.55883617323258E14</v>
      </c>
      <c r="E3" s="19" t="s">
        <v>12</v>
      </c>
      <c r="F3" s="20" t="s">
        <v>13</v>
      </c>
      <c r="G3" s="21" t="s">
        <v>14</v>
      </c>
      <c r="H3" s="22" t="s">
        <v>15</v>
      </c>
      <c r="I3" s="23"/>
      <c r="J3" s="23"/>
      <c r="K3" s="24"/>
      <c r="M3" s="13"/>
      <c r="N3" s="13"/>
      <c r="P3" s="25"/>
      <c r="Q3" s="14"/>
      <c r="R3" s="14"/>
    </row>
    <row r="4">
      <c r="A4" s="15">
        <v>2.0</v>
      </c>
      <c r="B4" s="16" t="s">
        <v>16</v>
      </c>
      <c r="C4" s="17"/>
      <c r="D4" s="18">
        <v>3.56805116135239E14</v>
      </c>
      <c r="E4" s="19" t="s">
        <v>13</v>
      </c>
      <c r="F4" s="20" t="s">
        <v>12</v>
      </c>
      <c r="G4" s="21" t="s">
        <v>17</v>
      </c>
      <c r="H4" s="22" t="s">
        <v>15</v>
      </c>
      <c r="I4" s="23"/>
      <c r="J4" s="23"/>
      <c r="K4" s="24"/>
      <c r="M4" s="13"/>
      <c r="N4" s="13"/>
      <c r="P4" s="25"/>
      <c r="Q4" s="14"/>
      <c r="R4" s="14"/>
    </row>
    <row r="5">
      <c r="A5" s="26">
        <v>3.0</v>
      </c>
      <c r="B5" s="27" t="s">
        <v>18</v>
      </c>
      <c r="C5" s="28" t="s">
        <v>19</v>
      </c>
      <c r="D5" s="29">
        <v>3.5169429777273E13</v>
      </c>
      <c r="E5" s="30">
        <f t="shared" ref="E5:E7" si="1">F5+20</f>
        <v>240</v>
      </c>
      <c r="F5" s="31">
        <v>220.0</v>
      </c>
      <c r="G5" s="32" t="s">
        <v>20</v>
      </c>
      <c r="H5" s="33"/>
      <c r="I5" s="34"/>
      <c r="J5" s="34"/>
      <c r="K5" s="35" t="s">
        <v>21</v>
      </c>
      <c r="L5" s="36"/>
      <c r="M5" s="37"/>
      <c r="N5" s="37"/>
      <c r="O5" s="36"/>
      <c r="P5" s="37"/>
      <c r="Q5" s="37"/>
      <c r="R5" s="37"/>
      <c r="S5" s="36"/>
      <c r="T5" s="36"/>
      <c r="U5" s="36"/>
      <c r="V5" s="36"/>
      <c r="W5" s="36"/>
      <c r="X5" s="36"/>
    </row>
    <row r="6">
      <c r="A6" s="15">
        <v>4.0</v>
      </c>
      <c r="B6" s="38" t="s">
        <v>22</v>
      </c>
      <c r="C6" s="39" t="s">
        <v>19</v>
      </c>
      <c r="D6" s="40">
        <v>3.5680111674049E14</v>
      </c>
      <c r="E6" s="41">
        <f t="shared" si="1"/>
        <v>240</v>
      </c>
      <c r="F6" s="42">
        <v>220.0</v>
      </c>
      <c r="G6" s="43" t="s">
        <v>23</v>
      </c>
      <c r="H6" s="44"/>
      <c r="I6" s="45"/>
      <c r="J6" s="46"/>
      <c r="K6" s="47" t="s">
        <v>21</v>
      </c>
    </row>
    <row r="7">
      <c r="A7" s="15">
        <v>5.0</v>
      </c>
      <c r="B7" s="48" t="s">
        <v>18</v>
      </c>
      <c r="C7" s="17" t="s">
        <v>19</v>
      </c>
      <c r="D7" s="49">
        <v>3.51734245333421E14</v>
      </c>
      <c r="E7" s="19">
        <f t="shared" si="1"/>
        <v>240</v>
      </c>
      <c r="F7" s="20">
        <v>220.0</v>
      </c>
      <c r="G7" s="50" t="s">
        <v>23</v>
      </c>
      <c r="H7" s="22" t="s">
        <v>24</v>
      </c>
      <c r="I7" s="23"/>
      <c r="J7" s="23"/>
      <c r="K7" s="24" t="s">
        <v>25</v>
      </c>
      <c r="M7" s="13"/>
      <c r="N7" s="13"/>
      <c r="P7" s="25"/>
      <c r="Q7" s="14"/>
      <c r="R7" s="14"/>
    </row>
    <row r="8">
      <c r="A8" s="15">
        <v>6.0</v>
      </c>
      <c r="B8" s="38" t="s">
        <v>26</v>
      </c>
      <c r="C8" s="39"/>
      <c r="D8" s="40">
        <v>3.56786286917012E14</v>
      </c>
      <c r="E8" s="41" t="s">
        <v>27</v>
      </c>
      <c r="F8" s="42" t="s">
        <v>13</v>
      </c>
      <c r="G8" s="43" t="s">
        <v>28</v>
      </c>
      <c r="H8" s="44" t="s">
        <v>15</v>
      </c>
      <c r="I8" s="45"/>
      <c r="J8" s="46"/>
      <c r="K8" s="47"/>
    </row>
    <row r="9">
      <c r="A9" s="26">
        <v>7.0</v>
      </c>
      <c r="B9" s="51" t="s">
        <v>29</v>
      </c>
      <c r="C9" s="52" t="s">
        <v>19</v>
      </c>
      <c r="D9" s="22">
        <v>3.57143262214387E14</v>
      </c>
      <c r="E9" s="19">
        <v>250.0</v>
      </c>
      <c r="F9" s="20">
        <v>230.0</v>
      </c>
      <c r="G9" s="53" t="s">
        <v>30</v>
      </c>
      <c r="H9" s="22"/>
      <c r="I9" s="23"/>
      <c r="J9" s="23"/>
      <c r="K9" s="24" t="s">
        <v>25</v>
      </c>
      <c r="M9" s="13"/>
      <c r="N9" s="13"/>
      <c r="P9" s="25"/>
      <c r="Q9" s="14"/>
      <c r="R9" s="14"/>
    </row>
    <row r="10">
      <c r="A10" s="15">
        <v>8.0</v>
      </c>
      <c r="B10" s="51" t="s">
        <v>31</v>
      </c>
      <c r="C10" s="39" t="s">
        <v>19</v>
      </c>
      <c r="D10" s="22">
        <v>3.52929111564591E14</v>
      </c>
      <c r="E10" s="19">
        <f>F10+20</f>
        <v>290</v>
      </c>
      <c r="F10" s="20">
        <v>270.0</v>
      </c>
      <c r="G10" s="53" t="s">
        <v>32</v>
      </c>
      <c r="H10" s="54"/>
      <c r="I10" s="55"/>
      <c r="J10" s="55"/>
      <c r="K10" s="24" t="s">
        <v>25</v>
      </c>
      <c r="M10" s="13"/>
      <c r="N10" s="13"/>
      <c r="P10" s="25"/>
      <c r="Q10" s="14"/>
      <c r="R10" s="14"/>
    </row>
    <row r="11">
      <c r="A11" s="15">
        <v>9.0</v>
      </c>
      <c r="B11" s="16" t="s">
        <v>33</v>
      </c>
      <c r="C11" s="17"/>
      <c r="D11" s="18">
        <v>3.53249107496891E14</v>
      </c>
      <c r="E11" s="19" t="s">
        <v>34</v>
      </c>
      <c r="F11" s="20" t="s">
        <v>35</v>
      </c>
      <c r="G11" s="21" t="s">
        <v>36</v>
      </c>
      <c r="H11" s="22" t="s">
        <v>15</v>
      </c>
      <c r="I11" s="23"/>
      <c r="J11" s="23"/>
      <c r="K11" s="24"/>
      <c r="M11" s="13"/>
      <c r="N11" s="13"/>
      <c r="P11" s="25"/>
      <c r="Q11" s="14"/>
      <c r="R11" s="14"/>
    </row>
    <row r="12">
      <c r="A12" s="15">
        <v>10.0</v>
      </c>
      <c r="B12" s="16" t="s">
        <v>37</v>
      </c>
      <c r="C12" s="17"/>
      <c r="D12" s="18" t="s">
        <v>38</v>
      </c>
      <c r="E12" s="19" t="s">
        <v>39</v>
      </c>
      <c r="F12" s="20" t="s">
        <v>40</v>
      </c>
      <c r="G12" s="21" t="s">
        <v>41</v>
      </c>
      <c r="H12" s="22" t="s">
        <v>15</v>
      </c>
      <c r="I12" s="23"/>
      <c r="J12" s="23"/>
      <c r="K12" s="24"/>
      <c r="M12" s="13"/>
      <c r="N12" s="13"/>
      <c r="P12" s="25"/>
      <c r="Q12" s="14"/>
      <c r="R12" s="14"/>
    </row>
    <row r="13">
      <c r="A13" s="26">
        <v>11.0</v>
      </c>
      <c r="B13" s="16" t="s">
        <v>42</v>
      </c>
      <c r="C13" s="56" t="s">
        <v>19</v>
      </c>
      <c r="D13" s="57">
        <v>3.53902108797556E14</v>
      </c>
      <c r="E13" s="19">
        <f t="shared" ref="E13:E14" si="2">F13+20</f>
        <v>350</v>
      </c>
      <c r="F13" s="20">
        <v>330.0</v>
      </c>
      <c r="G13" s="21" t="s">
        <v>43</v>
      </c>
      <c r="H13" s="22"/>
      <c r="I13" s="23"/>
      <c r="J13" s="23"/>
      <c r="K13" s="24" t="s">
        <v>25</v>
      </c>
      <c r="M13" s="13"/>
      <c r="N13" s="13"/>
      <c r="P13" s="25"/>
      <c r="Q13" s="14"/>
      <c r="R13" s="14"/>
      <c r="T13" s="58" t="s">
        <v>24</v>
      </c>
      <c r="U13" s="58"/>
      <c r="V13" s="58"/>
      <c r="W13" s="58"/>
      <c r="X13" s="58"/>
    </row>
    <row r="14">
      <c r="A14" s="15">
        <v>12.0</v>
      </c>
      <c r="B14" s="59" t="s">
        <v>42</v>
      </c>
      <c r="C14" s="56" t="s">
        <v>19</v>
      </c>
      <c r="D14" s="60">
        <v>3.53926105657992E14</v>
      </c>
      <c r="E14" s="19">
        <f t="shared" si="2"/>
        <v>340</v>
      </c>
      <c r="F14" s="20">
        <v>320.0</v>
      </c>
      <c r="G14" s="61" t="s">
        <v>43</v>
      </c>
      <c r="H14" s="54"/>
      <c r="I14" s="55"/>
      <c r="J14" s="55"/>
      <c r="K14" s="47" t="s">
        <v>21</v>
      </c>
    </row>
    <row r="15">
      <c r="A15" s="15">
        <v>13.0</v>
      </c>
      <c r="B15" s="62" t="s">
        <v>44</v>
      </c>
      <c r="C15" s="63" t="s">
        <v>19</v>
      </c>
      <c r="D15" s="64">
        <v>3.53007118086741E14</v>
      </c>
      <c r="E15" s="65">
        <v>330.0</v>
      </c>
      <c r="F15" s="66">
        <v>310.0</v>
      </c>
      <c r="G15" s="64" t="s">
        <v>43</v>
      </c>
      <c r="H15" s="22"/>
      <c r="I15" s="23"/>
      <c r="J15" s="23"/>
      <c r="K15" s="24"/>
      <c r="M15" s="13"/>
      <c r="N15" s="13"/>
      <c r="P15" s="25"/>
      <c r="Q15" s="14"/>
      <c r="R15" s="14"/>
    </row>
    <row r="16">
      <c r="A16" s="15">
        <v>14.0</v>
      </c>
      <c r="B16" s="62" t="s">
        <v>45</v>
      </c>
      <c r="C16" s="63"/>
      <c r="D16" s="64" t="s">
        <v>46</v>
      </c>
      <c r="E16" s="65" t="s">
        <v>47</v>
      </c>
      <c r="F16" s="66" t="s">
        <v>47</v>
      </c>
      <c r="G16" s="64" t="s">
        <v>48</v>
      </c>
      <c r="H16" s="22" t="s">
        <v>15</v>
      </c>
      <c r="I16" s="23"/>
      <c r="J16" s="23"/>
      <c r="K16" s="24"/>
      <c r="M16" s="13"/>
      <c r="N16" s="13"/>
      <c r="P16" s="25"/>
      <c r="Q16" s="14"/>
      <c r="R16" s="14"/>
    </row>
    <row r="17">
      <c r="A17" s="26">
        <v>15.0</v>
      </c>
      <c r="B17" s="67" t="s">
        <v>49</v>
      </c>
      <c r="C17" s="68" t="s">
        <v>19</v>
      </c>
      <c r="D17" s="69">
        <v>3.58209592295203E14</v>
      </c>
      <c r="E17" s="19">
        <v>230.0</v>
      </c>
      <c r="F17" s="20">
        <v>200.0</v>
      </c>
      <c r="G17" s="70" t="s">
        <v>43</v>
      </c>
      <c r="H17" s="22" t="s">
        <v>50</v>
      </c>
      <c r="I17" s="23"/>
      <c r="J17" s="23"/>
      <c r="K17" s="24" t="s">
        <v>25</v>
      </c>
      <c r="M17" s="13"/>
      <c r="N17" s="13"/>
      <c r="P17" s="25"/>
      <c r="Q17" s="14"/>
      <c r="R17" s="14"/>
    </row>
    <row r="18">
      <c r="A18" s="15">
        <v>16.0</v>
      </c>
      <c r="B18" s="67" t="s">
        <v>51</v>
      </c>
      <c r="C18" s="68"/>
      <c r="D18" s="69">
        <v>3.53041110338701E14</v>
      </c>
      <c r="E18" s="19" t="s">
        <v>52</v>
      </c>
      <c r="F18" s="20" t="s">
        <v>52</v>
      </c>
      <c r="G18" s="70" t="s">
        <v>53</v>
      </c>
      <c r="H18" s="22" t="s">
        <v>15</v>
      </c>
      <c r="I18" s="23"/>
      <c r="J18" s="23"/>
      <c r="K18" s="24"/>
      <c r="M18" s="13"/>
      <c r="N18" s="13"/>
      <c r="P18" s="25"/>
      <c r="Q18" s="14"/>
      <c r="R18" s="14"/>
    </row>
    <row r="19">
      <c r="A19" s="15">
        <v>17.0</v>
      </c>
      <c r="B19" s="71" t="s">
        <v>54</v>
      </c>
      <c r="C19" s="72" t="s">
        <v>19</v>
      </c>
      <c r="D19" s="69">
        <v>3.55168942064235E14</v>
      </c>
      <c r="E19" s="19">
        <f>F19+20</f>
        <v>370</v>
      </c>
      <c r="F19" s="20">
        <v>350.0</v>
      </c>
      <c r="G19" s="70" t="s">
        <v>55</v>
      </c>
      <c r="H19" s="22"/>
      <c r="I19" s="23"/>
      <c r="J19" s="23"/>
      <c r="K19" s="24" t="s">
        <v>25</v>
      </c>
      <c r="M19" s="13"/>
      <c r="N19" s="13"/>
      <c r="P19" s="25"/>
      <c r="Q19" s="14"/>
      <c r="R19" s="14"/>
    </row>
    <row r="20">
      <c r="A20" s="15">
        <v>18.0</v>
      </c>
      <c r="B20" s="67" t="s">
        <v>56</v>
      </c>
      <c r="C20" s="72"/>
      <c r="D20" s="73">
        <v>3.51001682118412E14</v>
      </c>
      <c r="E20" s="19" t="s">
        <v>57</v>
      </c>
      <c r="F20" s="20" t="s">
        <v>58</v>
      </c>
      <c r="G20" s="70" t="s">
        <v>59</v>
      </c>
      <c r="H20" s="22" t="s">
        <v>15</v>
      </c>
      <c r="I20" s="23"/>
      <c r="J20" s="23"/>
      <c r="K20" s="24"/>
      <c r="M20" s="13"/>
      <c r="N20" s="13"/>
      <c r="P20" s="25"/>
      <c r="Q20" s="14"/>
      <c r="R20" s="14"/>
    </row>
    <row r="21" ht="15.75" customHeight="1">
      <c r="A21" s="15">
        <v>20.0</v>
      </c>
      <c r="B21" s="74" t="s">
        <v>60</v>
      </c>
      <c r="C21" s="75" t="s">
        <v>19</v>
      </c>
      <c r="D21" s="64">
        <v>3.5025757903237E13</v>
      </c>
      <c r="E21" s="19">
        <f t="shared" ref="E21:E22" si="3">F21+20</f>
        <v>420</v>
      </c>
      <c r="F21" s="42">
        <v>400.0</v>
      </c>
      <c r="G21" s="76" t="s">
        <v>30</v>
      </c>
      <c r="H21" s="77"/>
      <c r="I21" s="78"/>
      <c r="J21" s="79"/>
      <c r="K21" s="47" t="s">
        <v>21</v>
      </c>
      <c r="L21" s="80"/>
      <c r="M21" s="80"/>
      <c r="N21" s="80"/>
      <c r="O21" s="81"/>
      <c r="P21" s="82"/>
      <c r="Q21" s="83"/>
      <c r="R21" s="82"/>
      <c r="S21" s="84"/>
      <c r="T21" s="85"/>
      <c r="U21" s="85"/>
      <c r="V21" s="85"/>
      <c r="W21" s="85"/>
      <c r="X21" s="85"/>
    </row>
    <row r="22">
      <c r="A22" s="15">
        <v>21.0</v>
      </c>
      <c r="B22" s="86" t="s">
        <v>61</v>
      </c>
      <c r="C22" s="87" t="s">
        <v>19</v>
      </c>
      <c r="D22" s="88">
        <v>3.51055806513007E14</v>
      </c>
      <c r="E22" s="19">
        <f t="shared" si="3"/>
        <v>445</v>
      </c>
      <c r="F22" s="20">
        <v>425.0</v>
      </c>
      <c r="G22" s="89" t="s">
        <v>20</v>
      </c>
      <c r="H22" s="77"/>
      <c r="I22" s="55"/>
      <c r="J22" s="55"/>
      <c r="K22" s="47" t="s">
        <v>21</v>
      </c>
    </row>
    <row r="23">
      <c r="A23" s="15">
        <v>22.0</v>
      </c>
      <c r="B23" s="90" t="s">
        <v>62</v>
      </c>
      <c r="C23" s="75" t="s">
        <v>19</v>
      </c>
      <c r="D23" s="91">
        <v>3.52707669266979E14</v>
      </c>
      <c r="E23" s="19">
        <v>445.0</v>
      </c>
      <c r="F23" s="20">
        <v>430.0</v>
      </c>
      <c r="G23" s="91" t="s">
        <v>63</v>
      </c>
      <c r="H23" s="92"/>
      <c r="I23" s="78"/>
      <c r="J23" s="79"/>
      <c r="K23" s="24" t="s">
        <v>25</v>
      </c>
    </row>
    <row r="24">
      <c r="A24" s="26">
        <v>23.0</v>
      </c>
      <c r="B24" s="90" t="s">
        <v>61</v>
      </c>
      <c r="C24" s="93" t="s">
        <v>19</v>
      </c>
      <c r="D24" s="91">
        <v>3.58824785087512E14</v>
      </c>
      <c r="E24" s="19">
        <v>445.0</v>
      </c>
      <c r="F24" s="20">
        <v>430.0</v>
      </c>
      <c r="G24" s="91" t="s">
        <v>23</v>
      </c>
      <c r="H24" s="92"/>
      <c r="I24" s="78"/>
      <c r="J24" s="79"/>
      <c r="K24" s="24" t="s">
        <v>25</v>
      </c>
    </row>
    <row r="25">
      <c r="A25" s="15">
        <v>24.0</v>
      </c>
      <c r="B25" s="90" t="s">
        <v>64</v>
      </c>
      <c r="C25" s="94" t="s">
        <v>19</v>
      </c>
      <c r="D25" s="91">
        <v>3.57032769372584E14</v>
      </c>
      <c r="E25" s="19">
        <v>445.0</v>
      </c>
      <c r="F25" s="20">
        <v>430.0</v>
      </c>
      <c r="G25" s="91" t="s">
        <v>65</v>
      </c>
      <c r="H25" s="92"/>
      <c r="I25" s="78"/>
      <c r="J25" s="79"/>
      <c r="K25" s="24" t="s">
        <v>25</v>
      </c>
    </row>
    <row r="26">
      <c r="A26" s="15">
        <v>25.0</v>
      </c>
      <c r="B26" s="59" t="s">
        <v>66</v>
      </c>
      <c r="C26" s="95"/>
      <c r="D26" s="96">
        <v>3.5445540196626E14</v>
      </c>
      <c r="E26" s="19" t="s">
        <v>67</v>
      </c>
      <c r="F26" s="20" t="s">
        <v>68</v>
      </c>
      <c r="G26" s="97" t="s">
        <v>59</v>
      </c>
      <c r="H26" s="77" t="s">
        <v>15</v>
      </c>
      <c r="I26" s="55"/>
      <c r="J26" s="55"/>
      <c r="K26" s="47"/>
    </row>
    <row r="27">
      <c r="A27" s="15">
        <v>26.0</v>
      </c>
      <c r="B27" s="59" t="s">
        <v>66</v>
      </c>
      <c r="C27" s="95"/>
      <c r="D27" s="96">
        <v>3.56825828947382E14</v>
      </c>
      <c r="E27" s="19" t="s">
        <v>67</v>
      </c>
      <c r="F27" s="20" t="s">
        <v>68</v>
      </c>
      <c r="G27" s="97" t="s">
        <v>59</v>
      </c>
      <c r="H27" s="77" t="s">
        <v>15</v>
      </c>
      <c r="I27" s="55"/>
      <c r="J27" s="55"/>
      <c r="K27" s="47"/>
    </row>
    <row r="28">
      <c r="A28" s="26">
        <v>27.0</v>
      </c>
      <c r="B28" s="59" t="s">
        <v>69</v>
      </c>
      <c r="C28" s="95"/>
      <c r="D28" s="96"/>
      <c r="E28" s="19" t="s">
        <v>70</v>
      </c>
      <c r="F28" s="20" t="s">
        <v>70</v>
      </c>
      <c r="G28" s="97" t="s">
        <v>71</v>
      </c>
      <c r="H28" s="77" t="s">
        <v>15</v>
      </c>
      <c r="I28" s="55"/>
      <c r="J28" s="55"/>
      <c r="K28" s="47"/>
    </row>
    <row r="29">
      <c r="A29" s="15">
        <v>29.0</v>
      </c>
      <c r="B29" s="59" t="s">
        <v>72</v>
      </c>
      <c r="C29" s="98"/>
      <c r="D29" s="99" t="s">
        <v>73</v>
      </c>
      <c r="E29" s="19" t="s">
        <v>70</v>
      </c>
      <c r="F29" s="20" t="s">
        <v>70</v>
      </c>
      <c r="G29" s="97" t="s">
        <v>28</v>
      </c>
      <c r="H29" s="100" t="s">
        <v>15</v>
      </c>
      <c r="I29" s="55"/>
      <c r="J29" s="55"/>
      <c r="K29" s="47"/>
    </row>
    <row r="30">
      <c r="A30" s="15">
        <v>30.0</v>
      </c>
      <c r="B30" s="59" t="s">
        <v>72</v>
      </c>
      <c r="C30" s="98"/>
      <c r="D30" s="99">
        <v>3.5744897436444E14</v>
      </c>
      <c r="E30" s="19" t="s">
        <v>74</v>
      </c>
      <c r="F30" s="20" t="s">
        <v>74</v>
      </c>
      <c r="G30" s="97" t="s">
        <v>59</v>
      </c>
      <c r="H30" s="100" t="s">
        <v>15</v>
      </c>
      <c r="I30" s="55"/>
      <c r="J30" s="55"/>
      <c r="K30" s="47"/>
    </row>
    <row r="31">
      <c r="A31" s="26">
        <v>35.0</v>
      </c>
      <c r="B31" s="101" t="s">
        <v>75</v>
      </c>
      <c r="C31" s="102"/>
      <c r="D31" s="103">
        <v>3.5396781867069E14</v>
      </c>
      <c r="E31" s="19">
        <v>580.0</v>
      </c>
      <c r="F31" s="20">
        <v>570.0</v>
      </c>
      <c r="G31" s="70" t="s">
        <v>76</v>
      </c>
      <c r="H31" s="100" t="s">
        <v>15</v>
      </c>
      <c r="I31" s="55"/>
      <c r="J31" s="55"/>
      <c r="K31" s="47"/>
    </row>
    <row r="32">
      <c r="A32" s="15">
        <v>36.0</v>
      </c>
      <c r="B32" s="101" t="s">
        <v>77</v>
      </c>
      <c r="C32" s="102"/>
      <c r="D32" s="103">
        <v>3.50019042689113E14</v>
      </c>
      <c r="E32" s="19">
        <v>595.0</v>
      </c>
      <c r="F32" s="20">
        <v>575.0</v>
      </c>
      <c r="G32" s="70" t="s">
        <v>78</v>
      </c>
      <c r="H32" s="100" t="s">
        <v>15</v>
      </c>
      <c r="I32" s="55"/>
      <c r="J32" s="55"/>
      <c r="K32" s="47"/>
    </row>
    <row r="33">
      <c r="A33" s="15">
        <v>37.0</v>
      </c>
      <c r="B33" s="101" t="s">
        <v>77</v>
      </c>
      <c r="C33" s="102"/>
      <c r="D33" s="103">
        <v>3.58074294929453E14</v>
      </c>
      <c r="E33" s="19">
        <v>595.0</v>
      </c>
      <c r="F33" s="20">
        <v>575.0</v>
      </c>
      <c r="G33" s="70" t="s">
        <v>78</v>
      </c>
      <c r="H33" s="100" t="s">
        <v>15</v>
      </c>
      <c r="I33" s="55"/>
      <c r="J33" s="55"/>
      <c r="K33" s="47"/>
    </row>
    <row r="34">
      <c r="A34" s="15">
        <v>38.0</v>
      </c>
      <c r="B34" s="101" t="s">
        <v>77</v>
      </c>
      <c r="C34" s="102"/>
      <c r="D34" s="103">
        <v>3.50419532905823E14</v>
      </c>
      <c r="E34" s="19">
        <v>595.0</v>
      </c>
      <c r="F34" s="20">
        <v>575.0</v>
      </c>
      <c r="G34" s="70" t="s">
        <v>78</v>
      </c>
      <c r="H34" s="100" t="s">
        <v>15</v>
      </c>
      <c r="I34" s="55"/>
      <c r="J34" s="55"/>
      <c r="K34" s="47"/>
    </row>
    <row r="35">
      <c r="A35" s="26">
        <v>39.0</v>
      </c>
      <c r="B35" s="104" t="s">
        <v>77</v>
      </c>
      <c r="C35" s="105"/>
      <c r="D35" s="103">
        <v>3.52206203195562E14</v>
      </c>
      <c r="E35" s="41">
        <v>595.0</v>
      </c>
      <c r="F35" s="31">
        <v>575.0</v>
      </c>
      <c r="G35" s="106" t="s">
        <v>78</v>
      </c>
      <c r="H35" s="107" t="s">
        <v>15</v>
      </c>
      <c r="I35" s="34"/>
      <c r="J35" s="34"/>
      <c r="K35" s="108"/>
      <c r="L35" s="36"/>
      <c r="M35" s="36"/>
      <c r="N35" s="36"/>
      <c r="O35" s="36"/>
      <c r="P35" s="36"/>
      <c r="Q35" s="36"/>
      <c r="R35" s="36"/>
      <c r="S35" s="36"/>
      <c r="T35" s="36"/>
      <c r="U35" s="36"/>
      <c r="V35" s="36"/>
      <c r="W35" s="36"/>
      <c r="X35" s="36"/>
    </row>
    <row r="36">
      <c r="A36" s="15">
        <v>40.0</v>
      </c>
      <c r="B36" s="101" t="s">
        <v>79</v>
      </c>
      <c r="C36" s="102"/>
      <c r="D36" s="103">
        <v>3.50249440928652E14</v>
      </c>
      <c r="E36" s="19">
        <v>595.0</v>
      </c>
      <c r="F36" s="20">
        <v>575.0</v>
      </c>
      <c r="G36" s="70" t="s">
        <v>80</v>
      </c>
      <c r="H36" s="100" t="s">
        <v>15</v>
      </c>
      <c r="I36" s="55"/>
      <c r="J36" s="55"/>
      <c r="K36" s="47"/>
    </row>
    <row r="37" ht="16.5" customHeight="1">
      <c r="A37" s="15">
        <v>41.0</v>
      </c>
      <c r="B37" s="59" t="s">
        <v>81</v>
      </c>
      <c r="C37" s="68" t="s">
        <v>19</v>
      </c>
      <c r="D37" s="109">
        <v>3.51421795337438E14</v>
      </c>
      <c r="E37" s="65">
        <f t="shared" ref="E37:E43" si="4">F37+20</f>
        <v>530</v>
      </c>
      <c r="F37" s="66">
        <v>510.0</v>
      </c>
      <c r="G37" s="61" t="s">
        <v>63</v>
      </c>
      <c r="H37" s="54"/>
      <c r="I37" s="23"/>
      <c r="J37" s="23"/>
      <c r="K37" s="24" t="s">
        <v>25</v>
      </c>
    </row>
    <row r="38">
      <c r="A38" s="15">
        <v>42.0</v>
      </c>
      <c r="B38" s="110" t="s">
        <v>81</v>
      </c>
      <c r="C38" s="68" t="s">
        <v>19</v>
      </c>
      <c r="D38" s="111">
        <v>3.52051681854441E14</v>
      </c>
      <c r="E38" s="19">
        <f t="shared" si="4"/>
        <v>530</v>
      </c>
      <c r="F38" s="20">
        <v>510.0</v>
      </c>
      <c r="G38" s="112" t="s">
        <v>82</v>
      </c>
      <c r="H38" s="54"/>
      <c r="I38" s="55"/>
      <c r="J38" s="55"/>
      <c r="K38" s="47" t="s">
        <v>21</v>
      </c>
    </row>
    <row r="39">
      <c r="A39" s="26">
        <v>43.0</v>
      </c>
      <c r="B39" s="110" t="s">
        <v>83</v>
      </c>
      <c r="C39" s="113" t="s">
        <v>19</v>
      </c>
      <c r="D39" s="18">
        <v>3.56795453968419E14</v>
      </c>
      <c r="E39" s="19">
        <f t="shared" si="4"/>
        <v>530</v>
      </c>
      <c r="F39" s="20">
        <v>510.0</v>
      </c>
      <c r="G39" s="112" t="s">
        <v>84</v>
      </c>
      <c r="H39" s="54" t="s">
        <v>24</v>
      </c>
      <c r="I39" s="55"/>
      <c r="J39" s="55"/>
      <c r="K39" s="47" t="s">
        <v>21</v>
      </c>
    </row>
    <row r="40">
      <c r="A40" s="15">
        <v>44.0</v>
      </c>
      <c r="B40" s="110" t="s">
        <v>85</v>
      </c>
      <c r="C40" s="114" t="s">
        <v>19</v>
      </c>
      <c r="D40" s="18">
        <v>3.51048910001696E14</v>
      </c>
      <c r="E40" s="19">
        <f t="shared" si="4"/>
        <v>530</v>
      </c>
      <c r="F40" s="20">
        <v>510.0</v>
      </c>
      <c r="G40" s="112" t="s">
        <v>65</v>
      </c>
      <c r="H40" s="115"/>
      <c r="I40" s="55"/>
      <c r="J40" s="55"/>
      <c r="K40" s="47" t="s">
        <v>21</v>
      </c>
    </row>
    <row r="41" ht="16.5" customHeight="1">
      <c r="A41" s="15">
        <v>45.0</v>
      </c>
      <c r="B41" s="74" t="s">
        <v>83</v>
      </c>
      <c r="C41" s="116" t="s">
        <v>19</v>
      </c>
      <c r="D41" s="64">
        <v>3.50887741471326E14</v>
      </c>
      <c r="E41" s="19">
        <f t="shared" si="4"/>
        <v>530</v>
      </c>
      <c r="F41" s="42">
        <v>510.0</v>
      </c>
      <c r="G41" s="64" t="s">
        <v>65</v>
      </c>
      <c r="H41" s="117"/>
      <c r="I41" s="23"/>
      <c r="J41" s="23"/>
      <c r="K41" s="24" t="s">
        <v>25</v>
      </c>
    </row>
    <row r="42" ht="16.5" customHeight="1">
      <c r="A42" s="15">
        <v>46.0</v>
      </c>
      <c r="B42" s="59" t="s">
        <v>85</v>
      </c>
      <c r="C42" s="118" t="s">
        <v>19</v>
      </c>
      <c r="D42" s="119">
        <v>3.58710091593246E14</v>
      </c>
      <c r="E42" s="19">
        <f t="shared" si="4"/>
        <v>530</v>
      </c>
      <c r="F42" s="20">
        <v>510.0</v>
      </c>
      <c r="G42" s="61" t="s">
        <v>65</v>
      </c>
      <c r="H42" s="117"/>
      <c r="I42" s="23"/>
      <c r="J42" s="23"/>
      <c r="K42" s="24" t="s">
        <v>25</v>
      </c>
    </row>
    <row r="43">
      <c r="A43" s="26">
        <v>47.0</v>
      </c>
      <c r="B43" s="90" t="s">
        <v>81</v>
      </c>
      <c r="C43" s="93" t="s">
        <v>19</v>
      </c>
      <c r="D43" s="91">
        <v>3.51836492302452E14</v>
      </c>
      <c r="E43" s="19">
        <f t="shared" si="4"/>
        <v>570</v>
      </c>
      <c r="F43" s="42">
        <v>550.0</v>
      </c>
      <c r="G43" s="91" t="s">
        <v>86</v>
      </c>
      <c r="H43" s="92"/>
      <c r="I43" s="78"/>
      <c r="J43" s="79"/>
      <c r="K43" s="47" t="s">
        <v>21</v>
      </c>
    </row>
    <row r="44" ht="16.5" customHeight="1">
      <c r="A44" s="15"/>
      <c r="B44" s="51" t="s">
        <v>87</v>
      </c>
      <c r="C44" s="39" t="s">
        <v>19</v>
      </c>
      <c r="D44" s="120">
        <v>3.59128124006624E14</v>
      </c>
      <c r="E44" s="41"/>
      <c r="F44" s="42"/>
      <c r="G44" s="121"/>
      <c r="H44" s="100"/>
      <c r="I44" s="23"/>
      <c r="J44" s="23"/>
      <c r="K44" s="24"/>
    </row>
    <row r="45" ht="16.5" customHeight="1">
      <c r="A45" s="15">
        <v>52.0</v>
      </c>
      <c r="B45" s="51" t="s">
        <v>88</v>
      </c>
      <c r="C45" s="39" t="s">
        <v>19</v>
      </c>
      <c r="D45" s="120">
        <v>3.58001689947964E14</v>
      </c>
      <c r="E45" s="41">
        <v>740.0</v>
      </c>
      <c r="F45" s="42">
        <v>720.0</v>
      </c>
      <c r="G45" s="121" t="s">
        <v>32</v>
      </c>
      <c r="H45" s="100" t="s">
        <v>89</v>
      </c>
      <c r="I45" s="23"/>
      <c r="J45" s="23"/>
      <c r="K45" s="24" t="s">
        <v>25</v>
      </c>
    </row>
    <row r="46">
      <c r="A46" s="15">
        <v>53.0</v>
      </c>
      <c r="B46" s="16" t="s">
        <v>90</v>
      </c>
      <c r="C46" s="122" t="s">
        <v>19</v>
      </c>
      <c r="D46" s="57">
        <v>3.51682575216486E14</v>
      </c>
      <c r="E46" s="19">
        <v>575.0</v>
      </c>
      <c r="F46" s="20">
        <v>550.0</v>
      </c>
      <c r="G46" s="21" t="s">
        <v>84</v>
      </c>
      <c r="H46" s="54"/>
      <c r="I46" s="55"/>
      <c r="J46" s="55"/>
      <c r="K46" s="47" t="s">
        <v>21</v>
      </c>
    </row>
    <row r="47">
      <c r="A47" s="15">
        <v>54.0</v>
      </c>
      <c r="B47" s="16" t="s">
        <v>90</v>
      </c>
      <c r="C47" s="122" t="s">
        <v>19</v>
      </c>
      <c r="D47" s="57">
        <v>3.53177648865094E14</v>
      </c>
      <c r="E47" s="19">
        <v>575.0</v>
      </c>
      <c r="F47" s="20">
        <v>550.0</v>
      </c>
      <c r="G47" s="21" t="s">
        <v>65</v>
      </c>
      <c r="H47" s="54" t="s">
        <v>15</v>
      </c>
      <c r="I47" s="55"/>
      <c r="J47" s="55"/>
      <c r="K47" s="47" t="s">
        <v>21</v>
      </c>
    </row>
    <row r="48">
      <c r="A48" s="26">
        <v>55.0</v>
      </c>
      <c r="B48" s="16" t="s">
        <v>90</v>
      </c>
      <c r="C48" s="122" t="s">
        <v>19</v>
      </c>
      <c r="D48" s="57">
        <v>3.57498449140826E14</v>
      </c>
      <c r="E48" s="19">
        <v>575.0</v>
      </c>
      <c r="F48" s="20">
        <v>550.0</v>
      </c>
      <c r="G48" s="21" t="s">
        <v>91</v>
      </c>
      <c r="H48" s="54" t="s">
        <v>15</v>
      </c>
      <c r="I48" s="55"/>
      <c r="J48" s="55"/>
      <c r="K48" s="47" t="s">
        <v>21</v>
      </c>
    </row>
    <row r="49" ht="16.5" customHeight="1">
      <c r="A49" s="15">
        <v>56.0</v>
      </c>
      <c r="B49" s="51" t="s">
        <v>92</v>
      </c>
      <c r="C49" s="39" t="s">
        <v>19</v>
      </c>
      <c r="D49" s="120">
        <v>3.51048871831446E14</v>
      </c>
      <c r="E49" s="65">
        <v>595.0</v>
      </c>
      <c r="F49" s="66">
        <v>575.0</v>
      </c>
      <c r="G49" s="123" t="s">
        <v>93</v>
      </c>
      <c r="H49" s="100" t="s">
        <v>89</v>
      </c>
      <c r="I49" s="23"/>
      <c r="J49" s="23"/>
      <c r="K49" s="24"/>
    </row>
    <row r="50" ht="16.5" customHeight="1">
      <c r="A50" s="15">
        <v>57.0</v>
      </c>
      <c r="B50" s="51" t="s">
        <v>94</v>
      </c>
      <c r="C50" s="124" t="s">
        <v>19</v>
      </c>
      <c r="D50" s="54">
        <v>3.5317764950489E14</v>
      </c>
      <c r="E50" s="19">
        <f>F50+20</f>
        <v>595</v>
      </c>
      <c r="F50" s="20">
        <v>575.0</v>
      </c>
      <c r="G50" s="121" t="s">
        <v>65</v>
      </c>
      <c r="H50" s="117"/>
      <c r="I50" s="23"/>
      <c r="J50" s="23"/>
      <c r="K50" s="24" t="s">
        <v>25</v>
      </c>
    </row>
    <row r="51">
      <c r="A51" s="125" t="s">
        <v>95</v>
      </c>
      <c r="B51" s="11"/>
      <c r="C51" s="11"/>
      <c r="D51" s="11"/>
      <c r="E51" s="11"/>
      <c r="F51" s="11"/>
      <c r="G51" s="11"/>
      <c r="H51" s="11"/>
      <c r="I51" s="11"/>
      <c r="J51" s="11"/>
      <c r="K51" s="12"/>
    </row>
    <row r="52">
      <c r="A52" s="126"/>
      <c r="B52" s="74"/>
      <c r="C52" s="127"/>
      <c r="D52" s="64"/>
      <c r="E52" s="19"/>
      <c r="F52" s="20"/>
      <c r="G52" s="64"/>
      <c r="H52" s="92"/>
      <c r="I52" s="78"/>
      <c r="J52" s="79"/>
      <c r="K52" s="47"/>
    </row>
    <row r="53">
      <c r="A53" s="128" t="s">
        <v>96</v>
      </c>
      <c r="B53" s="11"/>
      <c r="C53" s="11"/>
      <c r="D53" s="11"/>
      <c r="E53" s="11"/>
      <c r="F53" s="11"/>
      <c r="G53" s="11"/>
      <c r="H53" s="11"/>
      <c r="I53" s="11"/>
      <c r="J53" s="11"/>
      <c r="K53" s="12"/>
    </row>
    <row r="54">
      <c r="A54" s="129">
        <v>1.0</v>
      </c>
      <c r="B54" s="51" t="s">
        <v>97</v>
      </c>
      <c r="C54" s="130" t="s">
        <v>19</v>
      </c>
      <c r="D54" s="131">
        <v>3.53888102058055E14</v>
      </c>
      <c r="E54" s="41" t="s">
        <v>98</v>
      </c>
      <c r="F54" s="42" t="s">
        <v>98</v>
      </c>
      <c r="G54" s="132" t="s">
        <v>32</v>
      </c>
      <c r="H54" s="133" t="s">
        <v>99</v>
      </c>
      <c r="I54" s="55"/>
      <c r="J54" s="55"/>
      <c r="K54" s="24" t="s">
        <v>25</v>
      </c>
    </row>
    <row r="55">
      <c r="A55" s="129">
        <v>2.0</v>
      </c>
      <c r="B55" s="51" t="s">
        <v>100</v>
      </c>
      <c r="C55" s="134" t="s">
        <v>19</v>
      </c>
      <c r="D55" s="131">
        <v>3.54903621485298E14</v>
      </c>
      <c r="E55" s="41" t="s">
        <v>98</v>
      </c>
      <c r="F55" s="42" t="s">
        <v>98</v>
      </c>
      <c r="G55" s="132" t="s">
        <v>84</v>
      </c>
      <c r="H55" s="133" t="s">
        <v>101</v>
      </c>
      <c r="I55" s="55"/>
      <c r="J55" s="55"/>
      <c r="K55" s="24" t="s">
        <v>25</v>
      </c>
    </row>
    <row r="56" ht="15.0" customHeight="1">
      <c r="A56" s="129">
        <v>3.0</v>
      </c>
      <c r="B56" s="135" t="s">
        <v>61</v>
      </c>
      <c r="C56" s="87" t="s">
        <v>19</v>
      </c>
      <c r="D56" s="136">
        <v>3.53341838732106E14</v>
      </c>
      <c r="E56" s="65">
        <v>550.0</v>
      </c>
      <c r="F56" s="66">
        <v>520.0</v>
      </c>
      <c r="G56" s="91" t="s">
        <v>30</v>
      </c>
      <c r="H56" s="137" t="s">
        <v>102</v>
      </c>
      <c r="I56" s="78"/>
      <c r="J56" s="79"/>
      <c r="K56" s="24" t="s">
        <v>25</v>
      </c>
      <c r="L56" s="80"/>
      <c r="M56" s="80"/>
      <c r="N56" s="80"/>
      <c r="O56" s="81"/>
      <c r="P56" s="82"/>
      <c r="Q56" s="83"/>
      <c r="R56" s="82"/>
      <c r="S56" s="84"/>
      <c r="T56" s="85"/>
      <c r="U56" s="85"/>
      <c r="V56" s="85"/>
      <c r="W56" s="85"/>
      <c r="X56" s="85"/>
    </row>
    <row r="57" ht="16.5" customHeight="1">
      <c r="A57" s="129">
        <v>4.0</v>
      </c>
      <c r="B57" s="51" t="s">
        <v>81</v>
      </c>
      <c r="C57" s="138" t="s">
        <v>19</v>
      </c>
      <c r="D57" s="120">
        <v>3.55846128737829E14</v>
      </c>
      <c r="E57" s="65">
        <v>690.0</v>
      </c>
      <c r="F57" s="66">
        <v>550.0</v>
      </c>
      <c r="G57" s="123" t="s">
        <v>23</v>
      </c>
      <c r="H57" s="139" t="s">
        <v>103</v>
      </c>
      <c r="I57" s="23"/>
      <c r="J57" s="23"/>
      <c r="K57" s="47" t="s">
        <v>21</v>
      </c>
    </row>
    <row r="58" ht="16.5" customHeight="1">
      <c r="A58" s="129">
        <v>5.0</v>
      </c>
      <c r="B58" s="140" t="s">
        <v>104</v>
      </c>
      <c r="C58" s="141" t="s">
        <v>19</v>
      </c>
      <c r="D58" s="136">
        <v>3.538641636218E14</v>
      </c>
      <c r="E58" s="19">
        <v>830.0</v>
      </c>
      <c r="F58" s="142">
        <v>800.0</v>
      </c>
      <c r="G58" s="112" t="s">
        <v>55</v>
      </c>
      <c r="H58" s="143" t="s">
        <v>105</v>
      </c>
      <c r="I58" s="144"/>
      <c r="J58" s="145"/>
      <c r="K58" s="47" t="s">
        <v>106</v>
      </c>
    </row>
    <row r="59" ht="16.5" customHeight="1">
      <c r="A59" s="129">
        <v>6.0</v>
      </c>
      <c r="B59" s="51" t="s">
        <v>107</v>
      </c>
      <c r="C59" s="146" t="s">
        <v>19</v>
      </c>
      <c r="D59" s="120">
        <v>3.57588205963773E14</v>
      </c>
      <c r="E59" s="65"/>
      <c r="F59" s="66"/>
      <c r="G59" s="147" t="s">
        <v>108</v>
      </c>
      <c r="H59" s="148" t="s">
        <v>109</v>
      </c>
      <c r="I59" s="149"/>
      <c r="J59" s="150"/>
      <c r="K59" s="24"/>
    </row>
    <row r="60" ht="16.5" customHeight="1">
      <c r="A60" s="151">
        <v>3.0</v>
      </c>
      <c r="B60" s="152" t="s">
        <v>110</v>
      </c>
      <c r="C60" s="39" t="s">
        <v>111</v>
      </c>
      <c r="D60" s="153"/>
      <c r="E60" s="65">
        <v>580.0</v>
      </c>
      <c r="F60" s="66"/>
      <c r="G60" s="147"/>
      <c r="H60" s="148" t="s">
        <v>112</v>
      </c>
      <c r="I60" s="149">
        <v>45996.0</v>
      </c>
      <c r="J60" s="150"/>
      <c r="K60" s="47" t="s">
        <v>113</v>
      </c>
    </row>
    <row r="61" ht="24.75" customHeight="1">
      <c r="A61" s="154" t="s">
        <v>114</v>
      </c>
      <c r="B61" s="11"/>
      <c r="C61" s="11"/>
      <c r="D61" s="11"/>
      <c r="E61" s="11"/>
      <c r="F61" s="11"/>
      <c r="G61" s="11"/>
      <c r="H61" s="11"/>
      <c r="I61" s="11"/>
      <c r="J61" s="11"/>
      <c r="K61" s="12"/>
      <c r="L61" s="80"/>
      <c r="M61" s="155" t="s">
        <v>115</v>
      </c>
      <c r="N61" s="155" t="s">
        <v>116</v>
      </c>
      <c r="O61" s="81"/>
      <c r="P61" s="156" t="s">
        <v>117</v>
      </c>
      <c r="Q61" s="157" t="s">
        <v>118</v>
      </c>
      <c r="R61" s="156" t="s">
        <v>119</v>
      </c>
      <c r="S61" s="84"/>
      <c r="T61" s="158" t="s">
        <v>120</v>
      </c>
      <c r="U61" s="159"/>
      <c r="V61" s="85"/>
      <c r="W61" s="85"/>
      <c r="X61" s="85"/>
    </row>
    <row r="62">
      <c r="A62" s="15">
        <v>1.0</v>
      </c>
      <c r="B62" s="16" t="s">
        <v>121</v>
      </c>
      <c r="C62" s="160" t="s">
        <v>19</v>
      </c>
      <c r="D62" s="161">
        <v>3.57137342218947E14</v>
      </c>
      <c r="E62" s="19">
        <v>890.0</v>
      </c>
      <c r="F62" s="142">
        <v>860.0</v>
      </c>
      <c r="G62" s="21" t="s">
        <v>122</v>
      </c>
      <c r="H62" s="100" t="s">
        <v>123</v>
      </c>
      <c r="I62" s="145">
        <v>45997.0</v>
      </c>
      <c r="J62" s="145">
        <v>46118.0</v>
      </c>
      <c r="K62" s="47" t="s">
        <v>124</v>
      </c>
      <c r="L62" s="162"/>
      <c r="M62" s="131">
        <v>0.5</v>
      </c>
      <c r="N62" s="163">
        <v>0.5</v>
      </c>
      <c r="O62" s="164"/>
      <c r="P62" s="165">
        <v>7.5</v>
      </c>
      <c r="Q62" s="166" t="s">
        <v>125</v>
      </c>
      <c r="R62" s="167">
        <v>4.0</v>
      </c>
      <c r="S62" s="168"/>
      <c r="T62" s="169" t="s">
        <v>126</v>
      </c>
      <c r="U62" s="170" t="s">
        <v>127</v>
      </c>
      <c r="V62" s="171"/>
      <c r="W62" s="171"/>
      <c r="X62" s="171"/>
    </row>
    <row r="63">
      <c r="A63" s="126">
        <v>2.0</v>
      </c>
      <c r="B63" s="16" t="s">
        <v>128</v>
      </c>
      <c r="C63" s="172" t="s">
        <v>111</v>
      </c>
      <c r="D63" s="57">
        <v>3.59802892215274E14</v>
      </c>
      <c r="E63" s="65">
        <v>1610.0</v>
      </c>
      <c r="F63" s="66">
        <v>1570.0</v>
      </c>
      <c r="G63" s="21">
        <v>256.0</v>
      </c>
      <c r="H63" s="54" t="s">
        <v>129</v>
      </c>
      <c r="I63" s="173">
        <v>46003.0</v>
      </c>
      <c r="J63" s="174">
        <v>46124.0</v>
      </c>
      <c r="K63" s="24" t="s">
        <v>130</v>
      </c>
      <c r="L63" s="162"/>
      <c r="M63" s="163">
        <v>1.0</v>
      </c>
      <c r="N63" s="163" t="s">
        <v>98</v>
      </c>
      <c r="O63" s="164"/>
      <c r="P63" s="175">
        <v>14.0</v>
      </c>
      <c r="Q63" s="176" t="s">
        <v>131</v>
      </c>
      <c r="R63" s="177">
        <v>5.0</v>
      </c>
      <c r="S63" s="168"/>
      <c r="T63" s="178" t="s">
        <v>132</v>
      </c>
      <c r="U63" s="179">
        <v>22.0</v>
      </c>
      <c r="V63" s="171"/>
      <c r="W63" s="171"/>
      <c r="X63" s="171"/>
    </row>
    <row r="64">
      <c r="A64" s="126">
        <v>3.0</v>
      </c>
      <c r="B64" s="180" t="s">
        <v>133</v>
      </c>
      <c r="C64" s="181" t="s">
        <v>19</v>
      </c>
      <c r="D64" s="182">
        <v>3.50813220117263E14</v>
      </c>
      <c r="E64" s="183">
        <f t="shared" ref="E64:E65" si="5">F64+20</f>
        <v>830</v>
      </c>
      <c r="F64" s="20">
        <v>810.0</v>
      </c>
      <c r="G64" s="184" t="s">
        <v>63</v>
      </c>
      <c r="H64" s="54" t="s">
        <v>134</v>
      </c>
      <c r="I64" s="173">
        <v>46003.0</v>
      </c>
      <c r="J64" s="185">
        <v>46124.0</v>
      </c>
      <c r="K64" s="24" t="s">
        <v>135</v>
      </c>
      <c r="L64" s="162"/>
      <c r="M64" s="163" t="s">
        <v>98</v>
      </c>
      <c r="N64" s="163">
        <v>1.0</v>
      </c>
      <c r="O64" s="164"/>
      <c r="P64" s="186">
        <v>9.0</v>
      </c>
      <c r="Q64" s="187" t="s">
        <v>136</v>
      </c>
      <c r="R64" s="188">
        <v>0.0</v>
      </c>
      <c r="S64" s="189"/>
      <c r="T64" s="178" t="s">
        <v>137</v>
      </c>
      <c r="U64" s="179">
        <v>37.0</v>
      </c>
      <c r="V64" s="190"/>
      <c r="W64" s="190"/>
      <c r="X64" s="190"/>
    </row>
    <row r="65">
      <c r="A65" s="15">
        <v>4.0</v>
      </c>
      <c r="B65" s="191" t="s">
        <v>107</v>
      </c>
      <c r="C65" s="192" t="s">
        <v>19</v>
      </c>
      <c r="D65" s="193">
        <v>3.5213021136794E14</v>
      </c>
      <c r="E65" s="19">
        <f t="shared" si="5"/>
        <v>635</v>
      </c>
      <c r="F65" s="183">
        <v>615.0</v>
      </c>
      <c r="G65" s="194" t="s">
        <v>86</v>
      </c>
      <c r="H65" s="195" t="s">
        <v>138</v>
      </c>
      <c r="I65" s="173">
        <v>46004.0</v>
      </c>
      <c r="J65" s="185">
        <v>45760.0</v>
      </c>
      <c r="K65" s="24" t="s">
        <v>135</v>
      </c>
      <c r="L65" s="162"/>
      <c r="M65" s="163" t="s">
        <v>98</v>
      </c>
      <c r="N65" s="163">
        <v>1.0</v>
      </c>
      <c r="O65" s="164"/>
      <c r="P65" s="196">
        <v>4.5</v>
      </c>
      <c r="Q65" s="197" t="s">
        <v>139</v>
      </c>
      <c r="R65" s="198"/>
      <c r="S65" s="168"/>
      <c r="T65" s="178" t="s">
        <v>140</v>
      </c>
      <c r="U65" s="179">
        <v>22.0</v>
      </c>
      <c r="V65" s="190"/>
      <c r="W65" s="190"/>
      <c r="X65" s="190"/>
    </row>
    <row r="66">
      <c r="A66" s="15">
        <v>5.0</v>
      </c>
      <c r="B66" s="16" t="s">
        <v>104</v>
      </c>
      <c r="C66" s="199" t="s">
        <v>19</v>
      </c>
      <c r="D66" s="57">
        <v>3.53629303647852E14</v>
      </c>
      <c r="E66" s="183"/>
      <c r="F66" s="183"/>
      <c r="G66" s="21" t="s">
        <v>141</v>
      </c>
      <c r="H66" s="54" t="s">
        <v>142</v>
      </c>
      <c r="I66" s="144">
        <v>45954.0</v>
      </c>
      <c r="J66" s="145">
        <v>46077.0</v>
      </c>
      <c r="K66" s="47" t="s">
        <v>143</v>
      </c>
      <c r="L66" s="162"/>
      <c r="M66" s="163" t="s">
        <v>98</v>
      </c>
      <c r="N66" s="163" t="s">
        <v>98</v>
      </c>
      <c r="O66" s="164"/>
      <c r="P66" s="196">
        <v>8.0</v>
      </c>
      <c r="Q66" s="200" t="s">
        <v>144</v>
      </c>
      <c r="R66" s="201"/>
      <c r="S66" s="202"/>
      <c r="T66" s="203" t="s">
        <v>145</v>
      </c>
      <c r="U66" s="179">
        <v>19.0</v>
      </c>
      <c r="V66" s="204"/>
      <c r="W66" s="204"/>
      <c r="X66" s="204"/>
    </row>
    <row r="67">
      <c r="A67" s="126">
        <v>6.0</v>
      </c>
      <c r="B67" s="90" t="s">
        <v>61</v>
      </c>
      <c r="C67" s="93" t="s">
        <v>19</v>
      </c>
      <c r="D67" s="91">
        <v>3.52824489628468E14</v>
      </c>
      <c r="E67" s="41">
        <v>455.0</v>
      </c>
      <c r="F67" s="205">
        <v>435.0</v>
      </c>
      <c r="G67" s="91" t="s">
        <v>146</v>
      </c>
      <c r="H67" s="79" t="s">
        <v>147</v>
      </c>
      <c r="I67" s="206">
        <v>46006.0</v>
      </c>
      <c r="J67" s="206">
        <v>46127.0</v>
      </c>
      <c r="K67" s="24" t="s">
        <v>135</v>
      </c>
      <c r="L67" s="162"/>
      <c r="M67" s="163" t="s">
        <v>98</v>
      </c>
      <c r="N67" s="163">
        <v>1.0</v>
      </c>
      <c r="O67" s="164"/>
      <c r="P67" s="207">
        <v>2.5</v>
      </c>
      <c r="Q67" s="208" t="s">
        <v>148</v>
      </c>
      <c r="R67" s="209"/>
      <c r="T67" s="203" t="s">
        <v>149</v>
      </c>
      <c r="U67" s="179">
        <v>14.0</v>
      </c>
    </row>
    <row r="68">
      <c r="A68" s="126">
        <v>7.0</v>
      </c>
      <c r="B68" s="51" t="s">
        <v>150</v>
      </c>
      <c r="C68" s="210" t="s">
        <v>111</v>
      </c>
      <c r="D68" s="120">
        <v>3.52190320050449E14</v>
      </c>
      <c r="E68" s="41"/>
      <c r="F68" s="41">
        <v>1450.0</v>
      </c>
      <c r="G68" s="21">
        <v>256.0</v>
      </c>
      <c r="H68" s="54" t="s">
        <v>151</v>
      </c>
      <c r="I68" s="211">
        <v>46007.0</v>
      </c>
      <c r="J68" s="174">
        <v>46128.0</v>
      </c>
      <c r="K68" s="24" t="s">
        <v>135</v>
      </c>
      <c r="L68" s="162"/>
      <c r="M68" s="163" t="s">
        <v>98</v>
      </c>
      <c r="N68" s="163">
        <v>1.0</v>
      </c>
      <c r="O68" s="164"/>
      <c r="P68" s="212">
        <v>7.0</v>
      </c>
      <c r="Q68" s="213" t="s">
        <v>152</v>
      </c>
      <c r="R68" s="214"/>
      <c r="T68" s="215" t="s">
        <v>153</v>
      </c>
      <c r="U68" s="179">
        <v>7.0</v>
      </c>
    </row>
    <row r="69">
      <c r="A69" s="15">
        <v>8.0</v>
      </c>
      <c r="B69" s="90" t="s">
        <v>154</v>
      </c>
      <c r="C69" s="216" t="s">
        <v>19</v>
      </c>
      <c r="D69" s="217">
        <v>3.52228708554358E14</v>
      </c>
      <c r="E69" s="19">
        <v>590.0</v>
      </c>
      <c r="F69" s="218">
        <v>580.0</v>
      </c>
      <c r="G69" s="91" t="s">
        <v>30</v>
      </c>
      <c r="H69" s="54" t="s">
        <v>155</v>
      </c>
      <c r="I69" s="219" t="s">
        <v>156</v>
      </c>
      <c r="J69" s="220">
        <v>46129.0</v>
      </c>
      <c r="K69" s="47" t="s">
        <v>157</v>
      </c>
      <c r="L69" s="162"/>
      <c r="M69" s="163">
        <v>0.5</v>
      </c>
      <c r="N69" s="163">
        <v>0.5</v>
      </c>
      <c r="O69" s="164"/>
      <c r="P69" s="212">
        <v>6.0</v>
      </c>
      <c r="Q69" s="213" t="s">
        <v>158</v>
      </c>
      <c r="R69" s="214"/>
      <c r="T69" s="215" t="s">
        <v>159</v>
      </c>
      <c r="U69" s="179">
        <v>12.0</v>
      </c>
    </row>
    <row r="70">
      <c r="A70" s="15">
        <v>9.0</v>
      </c>
      <c r="B70" s="110" t="s">
        <v>72</v>
      </c>
      <c r="C70" s="221" t="s">
        <v>19</v>
      </c>
      <c r="D70" s="222">
        <v>3.53165802966873E14</v>
      </c>
      <c r="E70" s="19" t="s">
        <v>74</v>
      </c>
      <c r="F70" s="142" t="s">
        <v>74</v>
      </c>
      <c r="G70" s="223" t="s">
        <v>160</v>
      </c>
      <c r="H70" s="54" t="s">
        <v>161</v>
      </c>
      <c r="I70" s="219" t="s">
        <v>156</v>
      </c>
      <c r="J70" s="220">
        <v>46129.0</v>
      </c>
      <c r="K70" s="47" t="s">
        <v>162</v>
      </c>
      <c r="L70" s="162"/>
      <c r="M70" s="163">
        <v>1.0</v>
      </c>
      <c r="N70" s="163" t="s">
        <v>98</v>
      </c>
      <c r="O70" s="164"/>
      <c r="P70" s="224">
        <f>SUM(N62:N86)</f>
        <v>7.5</v>
      </c>
      <c r="Q70" s="225" t="s">
        <v>163</v>
      </c>
      <c r="R70" s="226"/>
      <c r="T70" s="215" t="s">
        <v>164</v>
      </c>
      <c r="U70" s="179">
        <v>10.0</v>
      </c>
    </row>
    <row r="71">
      <c r="A71" s="15">
        <v>10.0</v>
      </c>
      <c r="B71" s="51" t="s">
        <v>165</v>
      </c>
      <c r="C71" s="227" t="s">
        <v>111</v>
      </c>
      <c r="D71" s="120">
        <v>3.51275243973271E14</v>
      </c>
      <c r="E71" s="65"/>
      <c r="F71" s="66">
        <v>885.0</v>
      </c>
      <c r="G71" s="121">
        <v>128.0</v>
      </c>
      <c r="H71" s="228" t="s">
        <v>166</v>
      </c>
      <c r="I71" s="211">
        <v>46008.0</v>
      </c>
      <c r="J71" s="229">
        <v>46008.0</v>
      </c>
      <c r="K71" s="24" t="s">
        <v>135</v>
      </c>
      <c r="L71" s="162"/>
      <c r="M71" s="131" t="s">
        <v>98</v>
      </c>
      <c r="N71" s="163">
        <v>1.0</v>
      </c>
      <c r="O71" s="164"/>
      <c r="P71" s="230">
        <f>SUM(P62:P70)</f>
        <v>66</v>
      </c>
      <c r="Q71" s="231" t="s">
        <v>167</v>
      </c>
      <c r="R71" s="230">
        <f>SUM(R62:R70)</f>
        <v>9</v>
      </c>
      <c r="T71" s="232" t="s">
        <v>168</v>
      </c>
      <c r="U71" s="233"/>
    </row>
    <row r="72">
      <c r="A72" s="15">
        <v>11.0</v>
      </c>
      <c r="B72" s="110" t="s">
        <v>169</v>
      </c>
      <c r="C72" s="95" t="s">
        <v>19</v>
      </c>
      <c r="D72" s="234">
        <v>3.56323459363509E14</v>
      </c>
      <c r="E72" s="19">
        <f>F72+20</f>
        <v>445</v>
      </c>
      <c r="F72" s="142">
        <v>425.0</v>
      </c>
      <c r="G72" s="223" t="s">
        <v>170</v>
      </c>
      <c r="H72" s="57" t="s">
        <v>171</v>
      </c>
      <c r="I72" s="211">
        <v>46009.0</v>
      </c>
      <c r="J72" s="220">
        <v>46130.0</v>
      </c>
      <c r="K72" s="47" t="s">
        <v>172</v>
      </c>
      <c r="L72" s="162"/>
      <c r="M72" s="163">
        <v>1.0</v>
      </c>
      <c r="N72" s="163" t="s">
        <v>98</v>
      </c>
      <c r="O72" s="162"/>
    </row>
    <row r="73">
      <c r="A73" s="15">
        <v>12.0</v>
      </c>
      <c r="B73" s="191" t="s">
        <v>173</v>
      </c>
      <c r="C73" s="235" t="s">
        <v>19</v>
      </c>
      <c r="D73" s="193">
        <v>3.50249440928652E14</v>
      </c>
      <c r="E73" s="142">
        <v>595.0</v>
      </c>
      <c r="F73" s="42">
        <v>575.0</v>
      </c>
      <c r="G73" s="184" t="s">
        <v>84</v>
      </c>
      <c r="H73" s="100" t="s">
        <v>174</v>
      </c>
      <c r="I73" s="236">
        <v>46009.0</v>
      </c>
      <c r="J73" s="237">
        <v>46130.0</v>
      </c>
      <c r="K73" s="47" t="s">
        <v>162</v>
      </c>
      <c r="L73" s="162"/>
      <c r="M73" s="163">
        <v>1.0</v>
      </c>
      <c r="N73" s="163" t="s">
        <v>98</v>
      </c>
      <c r="O73" s="164"/>
      <c r="P73" s="238"/>
      <c r="Q73" s="238"/>
      <c r="R73" s="238"/>
      <c r="S73" s="238"/>
    </row>
    <row r="74">
      <c r="A74" s="15">
        <v>50.0</v>
      </c>
      <c r="B74" s="90" t="s">
        <v>175</v>
      </c>
      <c r="C74" s="239" t="s">
        <v>176</v>
      </c>
      <c r="D74" s="217">
        <v>3.58073462123907E14</v>
      </c>
      <c r="E74" s="142">
        <v>590.0</v>
      </c>
      <c r="F74" s="42">
        <v>580.0</v>
      </c>
      <c r="G74" s="91" t="s">
        <v>80</v>
      </c>
      <c r="H74" s="100" t="s">
        <v>177</v>
      </c>
      <c r="I74" s="236">
        <v>46009.0</v>
      </c>
      <c r="J74" s="237">
        <v>46130.0</v>
      </c>
      <c r="K74" s="47" t="s">
        <v>178</v>
      </c>
      <c r="L74" s="164"/>
      <c r="M74" s="163">
        <v>0.5</v>
      </c>
      <c r="N74" s="163">
        <v>0.5</v>
      </c>
      <c r="O74" s="164"/>
      <c r="P74" s="156" t="s">
        <v>117</v>
      </c>
      <c r="Q74" s="157" t="s">
        <v>179</v>
      </c>
      <c r="R74" s="156" t="s">
        <v>119</v>
      </c>
      <c r="S74" s="240"/>
    </row>
    <row r="75">
      <c r="A75" s="26">
        <v>14.0</v>
      </c>
      <c r="B75" s="90" t="s">
        <v>180</v>
      </c>
      <c r="C75" s="241" t="s">
        <v>19</v>
      </c>
      <c r="D75" s="91">
        <v>3.52668915773772E14</v>
      </c>
      <c r="E75" s="205">
        <v>500.0</v>
      </c>
      <c r="F75" s="42">
        <v>500.0</v>
      </c>
      <c r="G75" s="91" t="s">
        <v>181</v>
      </c>
      <c r="H75" s="54" t="s">
        <v>182</v>
      </c>
      <c r="I75" s="236">
        <v>46009.0</v>
      </c>
      <c r="J75" s="237">
        <v>46130.0</v>
      </c>
      <c r="K75" s="47" t="s">
        <v>183</v>
      </c>
      <c r="L75" s="162"/>
      <c r="M75" s="163">
        <v>0.5</v>
      </c>
      <c r="N75" s="163">
        <v>0.5</v>
      </c>
      <c r="O75" s="162"/>
      <c r="P75" s="165">
        <v>3.0</v>
      </c>
      <c r="Q75" s="166" t="s">
        <v>125</v>
      </c>
      <c r="R75" s="167">
        <v>0.0</v>
      </c>
      <c r="S75" s="240"/>
    </row>
    <row r="76">
      <c r="A76" s="26">
        <v>19.0</v>
      </c>
      <c r="B76" s="90" t="s">
        <v>184</v>
      </c>
      <c r="C76" s="242" t="s">
        <v>19</v>
      </c>
      <c r="D76" s="91">
        <v>3.52117352554204E14</v>
      </c>
      <c r="E76" s="19">
        <f>F76+20</f>
        <v>430</v>
      </c>
      <c r="F76" s="142">
        <v>410.0</v>
      </c>
      <c r="G76" s="91" t="s">
        <v>84</v>
      </c>
      <c r="H76" s="92" t="s">
        <v>185</v>
      </c>
      <c r="I76" s="236">
        <v>46009.0</v>
      </c>
      <c r="J76" s="237">
        <v>46130.0</v>
      </c>
      <c r="K76" s="47" t="s">
        <v>186</v>
      </c>
      <c r="L76" s="162"/>
      <c r="M76" s="163">
        <v>1.0</v>
      </c>
      <c r="N76" s="163" t="s">
        <v>98</v>
      </c>
      <c r="O76" s="164"/>
      <c r="P76" s="175">
        <v>8.5</v>
      </c>
      <c r="Q76" s="176" t="s">
        <v>131</v>
      </c>
      <c r="R76" s="167">
        <v>0.0</v>
      </c>
      <c r="S76" s="240"/>
    </row>
    <row r="77">
      <c r="A77" s="26">
        <v>59.0</v>
      </c>
      <c r="B77" s="16" t="s">
        <v>187</v>
      </c>
      <c r="C77" s="243" t="s">
        <v>19</v>
      </c>
      <c r="D77" s="54">
        <v>3.58158666030162E14</v>
      </c>
      <c r="E77" s="19">
        <v>790.0</v>
      </c>
      <c r="F77" s="142">
        <v>775.0</v>
      </c>
      <c r="G77" s="121" t="s">
        <v>80</v>
      </c>
      <c r="H77" s="100" t="s">
        <v>188</v>
      </c>
      <c r="I77" s="236">
        <v>46009.0</v>
      </c>
      <c r="J77" s="237">
        <v>46130.0</v>
      </c>
      <c r="K77" s="47" t="s">
        <v>157</v>
      </c>
      <c r="L77" s="162"/>
      <c r="M77" s="163">
        <v>0.5</v>
      </c>
      <c r="N77" s="163">
        <v>0.5</v>
      </c>
      <c r="O77" s="164"/>
      <c r="P77" s="186">
        <v>4.0</v>
      </c>
      <c r="Q77" s="187" t="s">
        <v>136</v>
      </c>
      <c r="R77" s="167">
        <v>0.0</v>
      </c>
      <c r="S77" s="240"/>
    </row>
    <row r="78">
      <c r="A78" s="15">
        <v>17.0</v>
      </c>
      <c r="B78" s="244"/>
      <c r="C78" s="245"/>
      <c r="D78" s="163"/>
      <c r="E78" s="246"/>
      <c r="F78" s="246"/>
      <c r="G78" s="132"/>
      <c r="H78" s="54"/>
      <c r="I78" s="247"/>
      <c r="J78" s="247"/>
      <c r="K78" s="77"/>
      <c r="L78" s="164"/>
      <c r="M78" s="163"/>
      <c r="N78" s="163"/>
      <c r="O78" s="162"/>
      <c r="P78" s="196">
        <v>3.5</v>
      </c>
      <c r="Q78" s="197" t="s">
        <v>139</v>
      </c>
      <c r="R78" s="198"/>
      <c r="S78" s="240"/>
    </row>
    <row r="79">
      <c r="A79" s="26">
        <v>18.0</v>
      </c>
      <c r="B79" s="16"/>
      <c r="C79" s="248"/>
      <c r="D79" s="57"/>
      <c r="E79" s="246"/>
      <c r="F79" s="183"/>
      <c r="G79" s="21"/>
      <c r="H79" s="54"/>
      <c r="I79" s="174"/>
      <c r="J79" s="174"/>
      <c r="K79" s="77"/>
      <c r="L79" s="162"/>
      <c r="M79" s="163"/>
      <c r="N79" s="163"/>
      <c r="O79" s="164"/>
      <c r="P79" s="196">
        <v>5.5</v>
      </c>
      <c r="Q79" s="200" t="s">
        <v>144</v>
      </c>
      <c r="R79" s="201"/>
      <c r="S79" s="240"/>
    </row>
    <row r="80">
      <c r="A80" s="15">
        <v>19.0</v>
      </c>
      <c r="B80" s="16"/>
      <c r="C80" s="248"/>
      <c r="D80" s="57"/>
      <c r="E80" s="246"/>
      <c r="F80" s="183"/>
      <c r="G80" s="21"/>
      <c r="H80" s="54"/>
      <c r="I80" s="247"/>
      <c r="J80" s="174"/>
      <c r="K80" s="77"/>
      <c r="L80" s="162"/>
      <c r="M80" s="163"/>
      <c r="N80" s="163"/>
      <c r="O80" s="164"/>
      <c r="P80" s="207">
        <v>1.5</v>
      </c>
      <c r="Q80" s="208" t="s">
        <v>148</v>
      </c>
      <c r="R80" s="209"/>
      <c r="S80" s="240"/>
    </row>
    <row r="81">
      <c r="A81" s="26">
        <v>20.0</v>
      </c>
      <c r="B81" s="16"/>
      <c r="C81" s="249"/>
      <c r="D81" s="120"/>
      <c r="E81" s="246"/>
      <c r="F81" s="183"/>
      <c r="G81" s="21"/>
      <c r="H81" s="54"/>
      <c r="I81" s="247"/>
      <c r="J81" s="247"/>
      <c r="K81" s="77"/>
      <c r="L81" s="164"/>
      <c r="M81" s="250"/>
      <c r="N81" s="163"/>
      <c r="O81" s="164"/>
      <c r="P81" s="212">
        <v>3.0</v>
      </c>
      <c r="Q81" s="213" t="s">
        <v>152</v>
      </c>
      <c r="R81" s="214"/>
      <c r="S81" s="240"/>
    </row>
    <row r="82">
      <c r="A82" s="15">
        <v>21.0</v>
      </c>
      <c r="B82" s="244"/>
      <c r="C82" s="251"/>
      <c r="D82" s="252"/>
      <c r="E82" s="253"/>
      <c r="F82" s="253"/>
      <c r="G82" s="132"/>
      <c r="H82" s="54"/>
      <c r="I82" s="247"/>
      <c r="J82" s="247"/>
      <c r="K82" s="77"/>
      <c r="L82" s="164"/>
      <c r="M82" s="163"/>
      <c r="N82" s="163"/>
      <c r="O82" s="162"/>
      <c r="P82" s="212">
        <v>4.0</v>
      </c>
      <c r="Q82" s="213" t="s">
        <v>158</v>
      </c>
      <c r="R82" s="214"/>
      <c r="S82" s="240"/>
    </row>
    <row r="83">
      <c r="A83" s="15">
        <v>22.0</v>
      </c>
      <c r="B83" s="16"/>
      <c r="C83" s="249"/>
      <c r="D83" s="120"/>
      <c r="E83" s="246"/>
      <c r="F83" s="246"/>
      <c r="G83" s="21"/>
      <c r="H83" s="54"/>
      <c r="I83" s="247"/>
      <c r="J83" s="247"/>
      <c r="K83" s="77"/>
      <c r="L83" s="164"/>
      <c r="M83" s="163"/>
      <c r="N83" s="163"/>
      <c r="O83" s="164"/>
      <c r="P83" s="224">
        <f>SUM(M62:M77)</f>
        <v>7.5</v>
      </c>
      <c r="Q83" s="225" t="s">
        <v>163</v>
      </c>
      <c r="R83" s="226"/>
      <c r="S83" s="240"/>
    </row>
    <row r="84">
      <c r="A84" s="26">
        <v>23.0</v>
      </c>
      <c r="B84" s="16"/>
      <c r="C84" s="254"/>
      <c r="D84" s="57"/>
      <c r="E84" s="255"/>
      <c r="F84" s="246"/>
      <c r="G84" s="21"/>
      <c r="H84" s="54"/>
      <c r="I84" s="247"/>
      <c r="J84" s="247"/>
      <c r="K84" s="256"/>
      <c r="L84" s="162"/>
      <c r="M84" s="250"/>
      <c r="N84" s="163"/>
      <c r="O84" s="164"/>
      <c r="P84" s="230">
        <f>SUM(P75:P83)</f>
        <v>40.5</v>
      </c>
      <c r="Q84" s="231" t="s">
        <v>167</v>
      </c>
      <c r="R84" s="230">
        <f>SUM(R75:R83)</f>
        <v>0</v>
      </c>
      <c r="S84" s="257"/>
    </row>
    <row r="85">
      <c r="A85" s="26">
        <v>24.0</v>
      </c>
      <c r="B85" s="244"/>
      <c r="C85" s="251"/>
      <c r="D85" s="195"/>
      <c r="E85" s="253"/>
      <c r="F85" s="205"/>
      <c r="G85" s="132"/>
      <c r="H85" s="54"/>
      <c r="I85" s="247"/>
      <c r="J85" s="247"/>
      <c r="K85" s="256"/>
      <c r="L85" s="164"/>
      <c r="M85" s="163"/>
      <c r="N85" s="163"/>
      <c r="O85" s="164"/>
      <c r="P85" s="238"/>
      <c r="Q85" s="238"/>
      <c r="R85" s="238"/>
      <c r="S85" s="238"/>
    </row>
    <row r="86">
      <c r="A86" s="26">
        <v>25.0</v>
      </c>
      <c r="B86" s="51"/>
      <c r="C86" s="91"/>
      <c r="D86" s="54"/>
      <c r="E86" s="183"/>
      <c r="F86" s="246"/>
      <c r="G86" s="121"/>
      <c r="H86" s="54"/>
      <c r="I86" s="247"/>
      <c r="J86" s="247"/>
      <c r="K86" s="77"/>
      <c r="L86" s="164"/>
      <c r="M86" s="163"/>
      <c r="N86" s="163"/>
      <c r="O86" s="164"/>
    </row>
    <row r="87">
      <c r="A87" s="15">
        <v>26.0</v>
      </c>
      <c r="B87" s="51"/>
      <c r="C87" s="258"/>
      <c r="D87" s="54"/>
      <c r="E87" s="183"/>
      <c r="F87" s="246"/>
      <c r="G87" s="121"/>
      <c r="H87" s="259"/>
      <c r="I87" s="247"/>
      <c r="J87" s="247"/>
      <c r="K87" s="77"/>
      <c r="L87" s="162"/>
      <c r="M87" s="163"/>
      <c r="N87" s="250"/>
      <c r="O87" s="164"/>
      <c r="P87" s="82"/>
      <c r="Q87" s="83"/>
      <c r="R87" s="82"/>
    </row>
    <row r="88">
      <c r="A88" s="15">
        <v>27.0</v>
      </c>
      <c r="B88" s="16"/>
      <c r="C88" s="248"/>
      <c r="D88" s="57"/>
      <c r="E88" s="246"/>
      <c r="F88" s="183"/>
      <c r="G88" s="21"/>
      <c r="H88" s="54"/>
      <c r="I88" s="247"/>
      <c r="J88" s="247"/>
      <c r="K88" s="77"/>
      <c r="L88" s="164"/>
      <c r="M88" s="163"/>
      <c r="N88" s="163"/>
      <c r="O88" s="164"/>
      <c r="P88" s="260"/>
      <c r="Q88" s="261"/>
      <c r="R88" s="260"/>
    </row>
    <row r="89">
      <c r="A89" s="26">
        <v>28.0</v>
      </c>
      <c r="B89" s="51"/>
      <c r="C89" s="91"/>
      <c r="D89" s="120"/>
      <c r="E89" s="246"/>
      <c r="F89" s="183"/>
      <c r="G89" s="121"/>
      <c r="H89" s="193"/>
      <c r="I89" s="262"/>
      <c r="J89" s="263"/>
      <c r="K89" s="256"/>
      <c r="L89" s="162"/>
      <c r="M89" s="163"/>
      <c r="N89" s="163"/>
      <c r="O89" s="164"/>
      <c r="P89" s="260"/>
      <c r="Q89" s="261"/>
      <c r="R89" s="260"/>
    </row>
    <row r="90">
      <c r="A90" s="26">
        <v>29.0</v>
      </c>
      <c r="B90" s="16"/>
      <c r="C90" s="248"/>
      <c r="D90" s="57"/>
      <c r="E90" s="255"/>
      <c r="F90" s="246"/>
      <c r="G90" s="21"/>
      <c r="H90" s="193"/>
      <c r="I90" s="262"/>
      <c r="J90" s="263"/>
      <c r="K90" s="256"/>
      <c r="L90" s="162"/>
      <c r="M90" s="250"/>
      <c r="N90" s="163"/>
      <c r="O90" s="164"/>
      <c r="P90" s="264"/>
      <c r="Q90" s="265"/>
      <c r="R90" s="260"/>
    </row>
    <row r="91">
      <c r="A91" s="26">
        <v>30.0</v>
      </c>
      <c r="B91" s="16"/>
      <c r="C91" s="248"/>
      <c r="D91" s="57"/>
      <c r="E91" s="183"/>
      <c r="F91" s="246"/>
      <c r="G91" s="21"/>
      <c r="H91" s="54"/>
      <c r="I91" s="262"/>
      <c r="J91" s="263"/>
      <c r="K91" s="77"/>
      <c r="L91" s="162"/>
      <c r="M91" s="250"/>
      <c r="N91" s="250"/>
      <c r="O91" s="164"/>
      <c r="P91" s="264"/>
      <c r="Q91" s="261"/>
      <c r="R91" s="266"/>
    </row>
    <row r="92">
      <c r="A92" s="15">
        <v>31.0</v>
      </c>
      <c r="B92" s="51"/>
      <c r="C92" s="258"/>
      <c r="D92" s="54"/>
      <c r="E92" s="246"/>
      <c r="F92" s="183"/>
      <c r="G92" s="121"/>
      <c r="H92" s="54"/>
      <c r="I92" s="247"/>
      <c r="J92" s="247"/>
      <c r="K92" s="256"/>
      <c r="L92" s="164"/>
      <c r="M92" s="163"/>
      <c r="N92" s="163"/>
      <c r="O92" s="164"/>
      <c r="P92" s="267"/>
      <c r="Q92" s="265"/>
      <c r="R92" s="268"/>
    </row>
    <row r="93">
      <c r="A93" s="15">
        <v>32.0</v>
      </c>
      <c r="B93" s="16"/>
      <c r="C93" s="248"/>
      <c r="D93" s="57"/>
      <c r="E93" s="246"/>
      <c r="F93" s="183"/>
      <c r="G93" s="21"/>
      <c r="H93" s="54"/>
      <c r="I93" s="247"/>
      <c r="J93" s="247"/>
      <c r="K93" s="256"/>
      <c r="L93" s="164"/>
      <c r="M93" s="163"/>
      <c r="N93" s="163"/>
      <c r="O93" s="162"/>
      <c r="P93" s="269"/>
      <c r="Q93" s="162"/>
      <c r="R93" s="269"/>
    </row>
    <row r="94">
      <c r="A94" s="26">
        <v>33.0</v>
      </c>
      <c r="B94" s="16"/>
      <c r="C94" s="17"/>
      <c r="D94" s="57"/>
      <c r="E94" s="183"/>
      <c r="F94" s="246"/>
      <c r="G94" s="21"/>
      <c r="H94" s="54"/>
      <c r="I94" s="247"/>
      <c r="J94" s="247"/>
      <c r="K94" s="256"/>
      <c r="L94" s="164"/>
      <c r="M94" s="163"/>
      <c r="N94" s="163"/>
      <c r="O94" s="162"/>
      <c r="P94" s="269"/>
      <c r="Q94" s="162"/>
      <c r="R94" s="269"/>
    </row>
    <row r="95">
      <c r="A95" s="26">
        <v>34.0</v>
      </c>
      <c r="B95" s="16"/>
      <c r="C95" s="248"/>
      <c r="D95" s="57"/>
      <c r="E95" s="255"/>
      <c r="F95" s="246"/>
      <c r="G95" s="21"/>
      <c r="H95" s="54"/>
      <c r="I95" s="247"/>
      <c r="J95" s="247"/>
      <c r="K95" s="256"/>
      <c r="L95" s="164"/>
      <c r="M95" s="163"/>
      <c r="N95" s="163"/>
      <c r="O95" s="164"/>
      <c r="P95" s="269"/>
      <c r="Q95" s="162"/>
      <c r="R95" s="269"/>
    </row>
    <row r="96">
      <c r="A96" s="26">
        <v>35.0</v>
      </c>
      <c r="B96" s="244"/>
      <c r="C96" s="245"/>
      <c r="D96" s="195"/>
      <c r="E96" s="253"/>
      <c r="F96" s="253"/>
      <c r="G96" s="132"/>
      <c r="H96" s="270"/>
      <c r="I96" s="247"/>
      <c r="J96" s="247"/>
      <c r="K96" s="77"/>
      <c r="L96" s="162"/>
      <c r="M96" s="163"/>
      <c r="N96" s="163"/>
      <c r="O96" s="164"/>
      <c r="P96" s="269"/>
      <c r="Q96" s="162"/>
      <c r="R96" s="269"/>
    </row>
    <row r="97">
      <c r="A97" s="15">
        <v>36.0</v>
      </c>
      <c r="B97" s="244"/>
      <c r="C97" s="245"/>
      <c r="D97" s="195"/>
      <c r="E97" s="255"/>
      <c r="F97" s="253"/>
      <c r="G97" s="132"/>
      <c r="H97" s="270"/>
      <c r="I97" s="247"/>
      <c r="J97" s="247"/>
      <c r="K97" s="77"/>
      <c r="L97" s="162"/>
      <c r="M97" s="250"/>
      <c r="N97" s="250"/>
      <c r="O97" s="164"/>
      <c r="P97" s="271"/>
      <c r="Q97" s="272"/>
      <c r="R97" s="271"/>
    </row>
    <row r="98">
      <c r="A98" s="15">
        <v>37.0</v>
      </c>
      <c r="B98" s="244"/>
      <c r="C98" s="245"/>
      <c r="D98" s="195"/>
      <c r="E98" s="205"/>
      <c r="F98" s="253"/>
      <c r="G98" s="132"/>
      <c r="H98" s="270"/>
      <c r="I98" s="247"/>
      <c r="J98" s="247"/>
      <c r="K98" s="77"/>
      <c r="L98" s="164"/>
      <c r="M98" s="163"/>
      <c r="N98" s="250"/>
      <c r="O98" s="162"/>
    </row>
    <row r="99">
      <c r="A99" s="26">
        <v>38.0</v>
      </c>
      <c r="B99" s="244"/>
      <c r="C99" s="245"/>
      <c r="D99" s="195"/>
      <c r="E99" s="255"/>
      <c r="F99" s="253"/>
      <c r="G99" s="132"/>
      <c r="H99" s="54"/>
      <c r="I99" s="247"/>
      <c r="J99" s="247"/>
      <c r="K99" s="77"/>
      <c r="L99" s="164"/>
      <c r="M99" s="163"/>
      <c r="N99" s="163"/>
      <c r="O99" s="164"/>
    </row>
    <row r="100">
      <c r="A100" s="26">
        <v>39.0</v>
      </c>
      <c r="B100" s="16"/>
      <c r="C100" s="273"/>
      <c r="D100" s="57"/>
      <c r="E100" s="255"/>
      <c r="F100" s="246"/>
      <c r="G100" s="21"/>
      <c r="H100" s="54"/>
      <c r="I100" s="247"/>
      <c r="J100" s="247"/>
      <c r="K100" s="256"/>
      <c r="L100" s="162"/>
      <c r="M100" s="250"/>
      <c r="N100" s="163"/>
      <c r="O100" s="164"/>
    </row>
    <row r="101">
      <c r="A101" s="26">
        <v>40.0</v>
      </c>
      <c r="B101" s="244"/>
      <c r="C101" s="245"/>
      <c r="D101" s="195"/>
      <c r="E101" s="253"/>
      <c r="F101" s="205"/>
      <c r="G101" s="132"/>
      <c r="H101" s="54"/>
      <c r="I101" s="247"/>
      <c r="J101" s="247"/>
      <c r="K101" s="256"/>
      <c r="L101" s="162"/>
      <c r="M101" s="163"/>
      <c r="N101" s="250"/>
      <c r="O101" s="164"/>
    </row>
    <row r="102">
      <c r="A102" s="15">
        <v>41.0</v>
      </c>
      <c r="B102" s="51"/>
      <c r="C102" s="258"/>
      <c r="D102" s="54"/>
      <c r="E102" s="246"/>
      <c r="F102" s="183"/>
      <c r="G102" s="121"/>
      <c r="H102" s="54"/>
      <c r="I102" s="247"/>
      <c r="J102" s="247"/>
      <c r="K102" s="77"/>
      <c r="L102" s="162"/>
      <c r="M102" s="250"/>
      <c r="N102" s="250"/>
      <c r="O102" s="164"/>
    </row>
    <row r="103">
      <c r="A103" s="15">
        <v>42.0</v>
      </c>
      <c r="B103" s="16"/>
      <c r="C103" s="248"/>
      <c r="D103" s="57"/>
      <c r="E103" s="246"/>
      <c r="F103" s="255"/>
      <c r="G103" s="21"/>
      <c r="H103" s="54"/>
      <c r="I103" s="247"/>
      <c r="J103" s="247"/>
      <c r="K103" s="77"/>
      <c r="L103" s="162"/>
      <c r="M103" s="163"/>
      <c r="N103" s="163"/>
      <c r="O103" s="164"/>
    </row>
    <row r="104">
      <c r="A104" s="26">
        <v>43.0</v>
      </c>
      <c r="B104" s="16"/>
      <c r="C104" s="254"/>
      <c r="D104" s="57"/>
      <c r="E104" s="255"/>
      <c r="F104" s="246"/>
      <c r="G104" s="21"/>
      <c r="H104" s="54"/>
      <c r="I104" s="247"/>
      <c r="J104" s="247"/>
      <c r="K104" s="256"/>
      <c r="L104" s="162"/>
      <c r="M104" s="250"/>
      <c r="N104" s="163"/>
      <c r="O104" s="164"/>
    </row>
    <row r="105">
      <c r="A105" s="26">
        <v>44.0</v>
      </c>
      <c r="B105" s="51"/>
      <c r="C105" s="258"/>
      <c r="D105" s="163"/>
      <c r="E105" s="246"/>
      <c r="F105" s="183"/>
      <c r="G105" s="123"/>
      <c r="H105" s="54"/>
      <c r="I105" s="247"/>
      <c r="J105" s="247"/>
      <c r="K105" s="77"/>
      <c r="L105" s="162"/>
      <c r="M105" s="163"/>
      <c r="N105" s="250"/>
      <c r="O105" s="164"/>
    </row>
    <row r="106">
      <c r="A106" s="26">
        <v>45.0</v>
      </c>
      <c r="B106" s="51"/>
      <c r="C106" s="91"/>
      <c r="D106" s="163"/>
      <c r="E106" s="253"/>
      <c r="F106" s="205"/>
      <c r="G106" s="132"/>
      <c r="H106" s="54"/>
      <c r="I106" s="247"/>
      <c r="J106" s="247"/>
      <c r="K106" s="256"/>
      <c r="L106" s="162"/>
      <c r="M106" s="250"/>
      <c r="N106" s="163"/>
      <c r="O106" s="164"/>
    </row>
    <row r="107">
      <c r="A107" s="15">
        <v>46.0</v>
      </c>
      <c r="B107" s="274"/>
      <c r="C107" s="28"/>
      <c r="D107" s="275"/>
      <c r="E107" s="276"/>
      <c r="F107" s="255"/>
      <c r="G107" s="277"/>
      <c r="H107" s="54"/>
      <c r="I107" s="247"/>
      <c r="J107" s="247"/>
      <c r="K107" s="256"/>
      <c r="L107" s="162"/>
      <c r="M107" s="250"/>
      <c r="N107" s="163"/>
      <c r="O107" s="164"/>
    </row>
    <row r="108">
      <c r="A108" s="15">
        <v>47.0</v>
      </c>
      <c r="B108" s="16"/>
      <c r="C108" s="248"/>
      <c r="D108" s="57"/>
      <c r="E108" s="255"/>
      <c r="F108" s="246"/>
      <c r="G108" s="21"/>
      <c r="H108" s="54"/>
      <c r="I108" s="174"/>
      <c r="J108" s="174"/>
      <c r="K108" s="77"/>
      <c r="L108" s="162"/>
      <c r="M108" s="250"/>
      <c r="N108" s="250"/>
      <c r="O108" s="164"/>
    </row>
    <row r="109">
      <c r="A109" s="26">
        <v>48.0</v>
      </c>
      <c r="B109" s="278"/>
      <c r="C109" s="252"/>
      <c r="D109" s="195"/>
      <c r="E109" s="279"/>
      <c r="F109" s="280"/>
      <c r="G109" s="281"/>
      <c r="H109" s="54"/>
      <c r="I109" s="174"/>
      <c r="J109" s="174"/>
      <c r="K109" s="256"/>
      <c r="L109" s="162"/>
      <c r="M109" s="250"/>
      <c r="N109" s="163"/>
      <c r="O109" s="164"/>
    </row>
    <row r="110">
      <c r="A110" s="26">
        <v>49.0</v>
      </c>
      <c r="B110" s="16"/>
      <c r="C110" s="248"/>
      <c r="D110" s="57"/>
      <c r="E110" s="246"/>
      <c r="F110" s="183"/>
      <c r="G110" s="21"/>
      <c r="H110" s="54"/>
      <c r="I110" s="174"/>
      <c r="J110" s="174"/>
      <c r="K110" s="77"/>
      <c r="L110" s="162"/>
      <c r="M110" s="250"/>
      <c r="N110" s="250"/>
      <c r="O110" s="164"/>
    </row>
    <row r="111">
      <c r="A111" s="26">
        <v>50.0</v>
      </c>
      <c r="B111" s="282"/>
      <c r="C111" s="283"/>
      <c r="D111" s="284"/>
      <c r="E111" s="285"/>
      <c r="F111" s="286"/>
      <c r="G111" s="287"/>
      <c r="H111" s="288"/>
      <c r="I111" s="289"/>
      <c r="J111" s="289"/>
      <c r="K111" s="290"/>
      <c r="L111" s="162"/>
      <c r="M111" s="250"/>
      <c r="N111" s="250"/>
      <c r="O111" s="164"/>
    </row>
    <row r="112">
      <c r="A112" s="291" t="s">
        <v>132</v>
      </c>
      <c r="B112" s="292"/>
      <c r="C112" s="292"/>
      <c r="D112" s="292"/>
      <c r="E112" s="292"/>
      <c r="F112" s="292"/>
      <c r="G112" s="292"/>
      <c r="H112" s="292"/>
      <c r="I112" s="292"/>
      <c r="J112" s="292"/>
      <c r="K112" s="159"/>
      <c r="L112" s="162"/>
      <c r="M112" s="250"/>
      <c r="N112" s="163"/>
      <c r="O112" s="164"/>
    </row>
    <row r="113">
      <c r="A113" s="293">
        <v>1.0</v>
      </c>
      <c r="B113" s="294" t="s">
        <v>189</v>
      </c>
      <c r="C113" s="295" t="s">
        <v>19</v>
      </c>
      <c r="D113" s="296">
        <v>3.5240047874811E14</v>
      </c>
      <c r="E113" s="297">
        <v>930.0</v>
      </c>
      <c r="F113" s="298">
        <v>910.0</v>
      </c>
      <c r="G113" s="299" t="s">
        <v>190</v>
      </c>
      <c r="H113" s="300" t="s">
        <v>191</v>
      </c>
      <c r="I113" s="301">
        <v>45748.0</v>
      </c>
      <c r="J113" s="301">
        <v>45839.0</v>
      </c>
      <c r="K113" s="302" t="s">
        <v>192</v>
      </c>
      <c r="L113" s="162"/>
      <c r="M113" s="250"/>
      <c r="N113" s="163"/>
      <c r="O113" s="164"/>
    </row>
    <row r="114">
      <c r="A114" s="15">
        <v>2.0</v>
      </c>
      <c r="B114" s="51" t="s">
        <v>193</v>
      </c>
      <c r="C114" s="52" t="s">
        <v>19</v>
      </c>
      <c r="D114" s="54">
        <v>3.57641774469084E14</v>
      </c>
      <c r="E114" s="19">
        <v>470.0</v>
      </c>
      <c r="F114" s="183">
        <v>450.0</v>
      </c>
      <c r="G114" s="121" t="s">
        <v>65</v>
      </c>
      <c r="H114" s="54" t="s">
        <v>194</v>
      </c>
      <c r="I114" s="247">
        <v>45752.0</v>
      </c>
      <c r="J114" s="247">
        <v>45843.0</v>
      </c>
      <c r="K114" s="47" t="s">
        <v>195</v>
      </c>
      <c r="L114" s="162"/>
      <c r="M114" s="250"/>
      <c r="N114" s="163"/>
      <c r="O114" s="164"/>
    </row>
    <row r="115">
      <c r="A115" s="26">
        <v>3.0</v>
      </c>
      <c r="B115" s="244" t="s">
        <v>196</v>
      </c>
      <c r="C115" s="303" t="s">
        <v>111</v>
      </c>
      <c r="D115" s="195">
        <v>3.50340255484889E14</v>
      </c>
      <c r="E115" s="41">
        <v>970.0</v>
      </c>
      <c r="F115" s="304" t="s">
        <v>197</v>
      </c>
      <c r="G115" s="132">
        <v>128.0</v>
      </c>
      <c r="H115" s="54" t="s">
        <v>198</v>
      </c>
      <c r="I115" s="247">
        <v>45755.0</v>
      </c>
      <c r="J115" s="247">
        <v>45846.0</v>
      </c>
      <c r="K115" s="47" t="s">
        <v>199</v>
      </c>
      <c r="L115" s="162"/>
      <c r="M115" s="250"/>
      <c r="N115" s="163"/>
      <c r="O115" s="164"/>
    </row>
    <row r="116">
      <c r="A116" s="26">
        <v>4.0</v>
      </c>
      <c r="B116" s="244" t="s">
        <v>200</v>
      </c>
      <c r="C116" s="251" t="s">
        <v>111</v>
      </c>
      <c r="D116" s="57">
        <v>3.59433183471119E14</v>
      </c>
      <c r="E116" s="41">
        <v>700.0</v>
      </c>
      <c r="F116" s="205">
        <v>680.0</v>
      </c>
      <c r="G116" s="305">
        <v>128.0</v>
      </c>
      <c r="H116" s="54" t="s">
        <v>201</v>
      </c>
      <c r="I116" s="247">
        <v>45755.0</v>
      </c>
      <c r="J116" s="247">
        <v>45846.0</v>
      </c>
      <c r="K116" s="47" t="s">
        <v>199</v>
      </c>
      <c r="L116" s="162"/>
      <c r="M116" s="250"/>
      <c r="N116" s="163"/>
      <c r="O116" s="164"/>
    </row>
    <row r="117">
      <c r="A117" s="26">
        <v>5.0</v>
      </c>
      <c r="B117" s="16" t="s">
        <v>202</v>
      </c>
      <c r="C117" s="306" t="s">
        <v>19</v>
      </c>
      <c r="D117" s="54">
        <v>3.52206205056119E14</v>
      </c>
      <c r="E117" s="19">
        <v>770.0</v>
      </c>
      <c r="F117" s="183">
        <v>750.0</v>
      </c>
      <c r="G117" s="121" t="s">
        <v>84</v>
      </c>
      <c r="H117" s="54" t="s">
        <v>203</v>
      </c>
      <c r="I117" s="237">
        <v>45756.0</v>
      </c>
      <c r="J117" s="237">
        <v>45847.0</v>
      </c>
      <c r="K117" s="47" t="s">
        <v>195</v>
      </c>
      <c r="L117" s="162"/>
      <c r="M117" s="250"/>
      <c r="N117" s="163"/>
      <c r="O117" s="164"/>
    </row>
    <row r="118">
      <c r="A118" s="293">
        <v>6.0</v>
      </c>
      <c r="B118" s="244" t="s">
        <v>204</v>
      </c>
      <c r="C118" s="307" t="s">
        <v>19</v>
      </c>
      <c r="D118" s="195">
        <v>3.59052379142415E14</v>
      </c>
      <c r="E118" s="41">
        <v>670.0</v>
      </c>
      <c r="F118" s="205">
        <v>650.0</v>
      </c>
      <c r="G118" s="132" t="s">
        <v>23</v>
      </c>
      <c r="H118" s="54" t="s">
        <v>205</v>
      </c>
      <c r="I118" s="237">
        <v>45758.0</v>
      </c>
      <c r="J118" s="237">
        <v>45849.0</v>
      </c>
      <c r="K118" s="308" t="s">
        <v>206</v>
      </c>
      <c r="L118" s="162"/>
      <c r="M118" s="250"/>
      <c r="N118" s="163"/>
      <c r="O118" s="164"/>
    </row>
    <row r="119">
      <c r="A119" s="15">
        <v>7.0</v>
      </c>
      <c r="B119" s="244" t="s">
        <v>92</v>
      </c>
      <c r="C119" s="239" t="s">
        <v>19</v>
      </c>
      <c r="D119" s="195">
        <v>3.51750720761902E14</v>
      </c>
      <c r="E119" s="304" t="s">
        <v>197</v>
      </c>
      <c r="F119" s="42">
        <v>770.0</v>
      </c>
      <c r="G119" s="132" t="s">
        <v>30</v>
      </c>
      <c r="H119" s="54" t="s">
        <v>207</v>
      </c>
      <c r="I119" s="174">
        <v>45761.0</v>
      </c>
      <c r="J119" s="174">
        <v>45852.0</v>
      </c>
      <c r="K119" s="308" t="s">
        <v>208</v>
      </c>
      <c r="L119" s="162"/>
      <c r="M119" s="250"/>
      <c r="N119" s="163"/>
      <c r="O119" s="164"/>
    </row>
    <row r="120">
      <c r="A120" s="26">
        <v>8.0</v>
      </c>
      <c r="B120" s="244" t="s">
        <v>204</v>
      </c>
      <c r="C120" s="307" t="s">
        <v>19</v>
      </c>
      <c r="D120" s="195">
        <v>3.5560072404641E14</v>
      </c>
      <c r="E120" s="41">
        <v>670.0</v>
      </c>
      <c r="F120" s="205">
        <v>650.0</v>
      </c>
      <c r="G120" s="132" t="s">
        <v>209</v>
      </c>
      <c r="H120" s="54" t="s">
        <v>210</v>
      </c>
      <c r="I120" s="247">
        <v>45763.0</v>
      </c>
      <c r="J120" s="247">
        <v>45854.0</v>
      </c>
      <c r="K120" s="47" t="s">
        <v>195</v>
      </c>
      <c r="L120" s="162"/>
      <c r="M120" s="250"/>
      <c r="N120" s="163"/>
      <c r="O120" s="164"/>
    </row>
    <row r="121">
      <c r="A121" s="26">
        <v>9.0</v>
      </c>
      <c r="B121" s="278" t="s">
        <v>92</v>
      </c>
      <c r="C121" s="309" t="s">
        <v>19</v>
      </c>
      <c r="D121" s="195">
        <v>3.5169847035183E14</v>
      </c>
      <c r="E121" s="310">
        <v>790.0</v>
      </c>
      <c r="F121" s="311">
        <v>750.0</v>
      </c>
      <c r="G121" s="281" t="s">
        <v>211</v>
      </c>
      <c r="H121" s="44" t="s">
        <v>212</v>
      </c>
      <c r="I121" s="237">
        <v>45763.0</v>
      </c>
      <c r="J121" s="237">
        <v>45854.0</v>
      </c>
      <c r="K121" s="308" t="s">
        <v>130</v>
      </c>
      <c r="L121" s="162"/>
      <c r="M121" s="250"/>
      <c r="N121" s="163"/>
      <c r="O121" s="164"/>
    </row>
    <row r="122">
      <c r="A122" s="26">
        <v>10.0</v>
      </c>
      <c r="B122" s="16" t="s">
        <v>62</v>
      </c>
      <c r="C122" s="312" t="s">
        <v>19</v>
      </c>
      <c r="D122" s="57">
        <v>3.58891503181778E14</v>
      </c>
      <c r="E122" s="183">
        <v>570.0</v>
      </c>
      <c r="F122" s="20">
        <v>550.0</v>
      </c>
      <c r="G122" s="21" t="s">
        <v>20</v>
      </c>
      <c r="H122" s="54" t="s">
        <v>213</v>
      </c>
      <c r="I122" s="247">
        <v>45763.0</v>
      </c>
      <c r="J122" s="247">
        <v>45854.0</v>
      </c>
      <c r="K122" s="47" t="s">
        <v>195</v>
      </c>
      <c r="L122" s="162"/>
      <c r="M122" s="250"/>
      <c r="N122" s="163"/>
      <c r="O122" s="164"/>
    </row>
    <row r="123">
      <c r="A123" s="293">
        <v>11.0</v>
      </c>
      <c r="B123" s="313" t="s">
        <v>214</v>
      </c>
      <c r="C123" s="314" t="s">
        <v>19</v>
      </c>
      <c r="D123" s="182">
        <v>3.54466594254588E14</v>
      </c>
      <c r="E123" s="183">
        <v>890.0</v>
      </c>
      <c r="F123" s="20">
        <v>870.0</v>
      </c>
      <c r="G123" s="121" t="s">
        <v>215</v>
      </c>
      <c r="H123" s="54" t="s">
        <v>216</v>
      </c>
      <c r="I123" s="247">
        <v>45764.0</v>
      </c>
      <c r="J123" s="247">
        <v>45855.0</v>
      </c>
      <c r="K123" s="47" t="s">
        <v>199</v>
      </c>
      <c r="L123" s="162"/>
      <c r="M123" s="250"/>
      <c r="N123" s="163"/>
      <c r="O123" s="164"/>
    </row>
    <row r="124">
      <c r="A124" s="15">
        <v>12.0</v>
      </c>
      <c r="B124" s="244" t="s">
        <v>217</v>
      </c>
      <c r="C124" s="315" t="s">
        <v>19</v>
      </c>
      <c r="D124" s="195">
        <v>3.5882334367434E14</v>
      </c>
      <c r="E124" s="41">
        <v>720.0</v>
      </c>
      <c r="F124" s="304" t="s">
        <v>197</v>
      </c>
      <c r="G124" s="132" t="s">
        <v>32</v>
      </c>
      <c r="H124" s="54" t="s">
        <v>218</v>
      </c>
      <c r="I124" s="237">
        <v>45764.0</v>
      </c>
      <c r="J124" s="237">
        <v>45855.0</v>
      </c>
      <c r="K124" s="308" t="s">
        <v>130</v>
      </c>
      <c r="L124" s="162"/>
      <c r="M124" s="250"/>
      <c r="N124" s="163"/>
      <c r="O124" s="164"/>
    </row>
    <row r="125">
      <c r="A125" s="26">
        <v>13.0</v>
      </c>
      <c r="B125" s="51" t="s">
        <v>219</v>
      </c>
      <c r="C125" s="316" t="s">
        <v>19</v>
      </c>
      <c r="D125" s="54">
        <v>3.52806842284485E14</v>
      </c>
      <c r="E125" s="19">
        <v>670.0</v>
      </c>
      <c r="F125" s="183">
        <v>650.0</v>
      </c>
      <c r="G125" s="121" t="s">
        <v>220</v>
      </c>
      <c r="H125" s="54" t="s">
        <v>221</v>
      </c>
      <c r="I125" s="237">
        <v>45770.0</v>
      </c>
      <c r="J125" s="237">
        <v>45861.0</v>
      </c>
      <c r="K125" s="308" t="s">
        <v>222</v>
      </c>
      <c r="L125" s="162"/>
      <c r="M125" s="250"/>
      <c r="N125" s="163"/>
      <c r="O125" s="164"/>
    </row>
    <row r="126">
      <c r="A126" s="26">
        <v>14.0</v>
      </c>
      <c r="B126" s="16" t="s">
        <v>223</v>
      </c>
      <c r="C126" s="249" t="s">
        <v>19</v>
      </c>
      <c r="D126" s="57">
        <v>3.53115824932296E14</v>
      </c>
      <c r="E126" s="19">
        <v>770.0</v>
      </c>
      <c r="F126" s="183">
        <v>750.0</v>
      </c>
      <c r="G126" s="70" t="s">
        <v>220</v>
      </c>
      <c r="H126" s="54" t="s">
        <v>224</v>
      </c>
      <c r="I126" s="247">
        <v>45773.0</v>
      </c>
      <c r="J126" s="247">
        <v>45864.0</v>
      </c>
      <c r="K126" s="47" t="s">
        <v>225</v>
      </c>
      <c r="L126" s="162"/>
      <c r="M126" s="250"/>
      <c r="N126" s="163"/>
      <c r="O126" s="164"/>
    </row>
    <row r="127">
      <c r="A127" s="26">
        <v>15.0</v>
      </c>
      <c r="B127" s="48" t="s">
        <v>226</v>
      </c>
      <c r="C127" s="17" t="s">
        <v>19</v>
      </c>
      <c r="D127" s="57">
        <v>3.56599142623231E14</v>
      </c>
      <c r="E127" s="19">
        <v>520.0</v>
      </c>
      <c r="F127" s="183">
        <v>500.0</v>
      </c>
      <c r="G127" s="70" t="s">
        <v>32</v>
      </c>
      <c r="H127" s="54" t="s">
        <v>227</v>
      </c>
      <c r="I127" s="247">
        <v>45773.0</v>
      </c>
      <c r="J127" s="247">
        <v>45864.0</v>
      </c>
      <c r="K127" s="47" t="s">
        <v>192</v>
      </c>
      <c r="L127" s="162"/>
      <c r="M127" s="250"/>
      <c r="N127" s="163"/>
      <c r="O127" s="164"/>
    </row>
    <row r="128">
      <c r="A128" s="293">
        <v>16.0</v>
      </c>
      <c r="B128" s="278" t="s">
        <v>204</v>
      </c>
      <c r="C128" s="317" t="s">
        <v>19</v>
      </c>
      <c r="D128" s="195">
        <v>3.55677812334718E14</v>
      </c>
      <c r="E128" s="310">
        <v>670.0</v>
      </c>
      <c r="F128" s="280">
        <v>650.0</v>
      </c>
      <c r="G128" s="281" t="s">
        <v>65</v>
      </c>
      <c r="H128" s="54" t="s">
        <v>228</v>
      </c>
      <c r="I128" s="247">
        <v>45773.0</v>
      </c>
      <c r="J128" s="247">
        <v>45864.0</v>
      </c>
      <c r="K128" s="47" t="s">
        <v>229</v>
      </c>
      <c r="L128" s="162"/>
      <c r="M128" s="250"/>
      <c r="N128" s="163"/>
      <c r="O128" s="164"/>
    </row>
    <row r="129">
      <c r="A129" s="15">
        <v>17.0</v>
      </c>
      <c r="B129" s="244" t="s">
        <v>230</v>
      </c>
      <c r="C129" s="315" t="s">
        <v>19</v>
      </c>
      <c r="D129" s="195">
        <v>3.58073463006002E14</v>
      </c>
      <c r="E129" s="41">
        <v>770.0</v>
      </c>
      <c r="F129" s="205">
        <v>750.0</v>
      </c>
      <c r="G129" s="132" t="s">
        <v>23</v>
      </c>
      <c r="H129" s="54" t="s">
        <v>231</v>
      </c>
      <c r="I129" s="237">
        <v>45773.0</v>
      </c>
      <c r="J129" s="237">
        <v>45864.0</v>
      </c>
      <c r="K129" s="308" t="s">
        <v>222</v>
      </c>
      <c r="L129" s="162"/>
      <c r="M129" s="250"/>
      <c r="N129" s="163"/>
      <c r="O129" s="164"/>
    </row>
    <row r="130">
      <c r="A130" s="26">
        <v>18.0</v>
      </c>
      <c r="B130" s="278" t="s">
        <v>232</v>
      </c>
      <c r="C130" s="318" t="s">
        <v>19</v>
      </c>
      <c r="D130" s="195">
        <v>3.56964990375369E14</v>
      </c>
      <c r="E130" s="310">
        <v>1070.0</v>
      </c>
      <c r="F130" s="280">
        <v>1050.0</v>
      </c>
      <c r="G130" s="281" t="s">
        <v>141</v>
      </c>
      <c r="H130" s="54" t="s">
        <v>233</v>
      </c>
      <c r="I130" s="247">
        <v>45776.0</v>
      </c>
      <c r="J130" s="247">
        <v>45867.0</v>
      </c>
      <c r="K130" s="47" t="s">
        <v>192</v>
      </c>
      <c r="L130" s="162"/>
      <c r="M130" s="250"/>
      <c r="N130" s="163"/>
      <c r="O130" s="164"/>
    </row>
    <row r="131">
      <c r="A131" s="26">
        <v>19.0</v>
      </c>
      <c r="B131" s="319" t="s">
        <v>234</v>
      </c>
      <c r="C131" s="320" t="s">
        <v>111</v>
      </c>
      <c r="D131" s="275">
        <v>3.58439160600068E14</v>
      </c>
      <c r="E131" s="321">
        <v>600.0</v>
      </c>
      <c r="F131" s="322">
        <v>1355.0</v>
      </c>
      <c r="G131" s="275"/>
      <c r="H131" s="275" t="s">
        <v>235</v>
      </c>
      <c r="I131" s="323">
        <v>45757.0</v>
      </c>
      <c r="J131" s="323">
        <v>45787.0</v>
      </c>
      <c r="K131" s="324" t="s">
        <v>236</v>
      </c>
      <c r="L131" s="162"/>
      <c r="M131" s="250"/>
      <c r="N131" s="163"/>
      <c r="O131" s="164"/>
    </row>
    <row r="132">
      <c r="A132" s="26">
        <v>20.0</v>
      </c>
      <c r="B132" s="319" t="s">
        <v>237</v>
      </c>
      <c r="C132" s="325" t="s">
        <v>19</v>
      </c>
      <c r="D132" s="275">
        <v>3.57447880369592E14</v>
      </c>
      <c r="E132" s="326">
        <v>585.0</v>
      </c>
      <c r="F132" s="322">
        <v>1355.0</v>
      </c>
      <c r="G132" s="275"/>
      <c r="H132" s="275" t="s">
        <v>235</v>
      </c>
      <c r="I132" s="323">
        <v>45757.0</v>
      </c>
      <c r="J132" s="323">
        <v>45787.0</v>
      </c>
      <c r="K132" s="324" t="s">
        <v>236</v>
      </c>
      <c r="L132" s="162"/>
      <c r="M132" s="250"/>
      <c r="N132" s="163"/>
      <c r="O132" s="164"/>
    </row>
    <row r="133">
      <c r="A133" s="293">
        <v>21.0</v>
      </c>
      <c r="B133" s="278" t="s">
        <v>238</v>
      </c>
      <c r="C133" s="327" t="s">
        <v>19</v>
      </c>
      <c r="D133" s="54">
        <v>3.50360638409197E14</v>
      </c>
      <c r="E133" s="328">
        <v>585.0</v>
      </c>
      <c r="F133" s="322">
        <v>1355.0</v>
      </c>
      <c r="G133" s="275"/>
      <c r="H133" s="275" t="s">
        <v>235</v>
      </c>
      <c r="I133" s="323">
        <v>45757.0</v>
      </c>
      <c r="J133" s="323">
        <v>45787.0</v>
      </c>
      <c r="K133" s="324" t="s">
        <v>236</v>
      </c>
      <c r="L133" s="162"/>
      <c r="M133" s="250"/>
      <c r="N133" s="163"/>
      <c r="O133" s="164"/>
    </row>
    <row r="134">
      <c r="A134" s="15">
        <v>22.0</v>
      </c>
      <c r="B134" s="329" t="s">
        <v>239</v>
      </c>
      <c r="C134" s="330" t="s">
        <v>111</v>
      </c>
      <c r="D134" s="330" t="s">
        <v>240</v>
      </c>
      <c r="E134" s="331">
        <v>810.0</v>
      </c>
      <c r="F134" s="332">
        <v>1355.0</v>
      </c>
      <c r="G134" s="333"/>
      <c r="H134" s="333" t="s">
        <v>235</v>
      </c>
      <c r="I134" s="334">
        <v>45757.0</v>
      </c>
      <c r="J134" s="334">
        <v>45787.0</v>
      </c>
      <c r="K134" s="335" t="s">
        <v>236</v>
      </c>
      <c r="L134" s="162"/>
      <c r="M134" s="250"/>
      <c r="N134" s="163"/>
      <c r="O134" s="164"/>
    </row>
    <row r="135">
      <c r="A135" s="336" t="s">
        <v>137</v>
      </c>
      <c r="B135" s="292"/>
      <c r="C135" s="292"/>
      <c r="D135" s="292"/>
      <c r="E135" s="292"/>
      <c r="F135" s="292"/>
      <c r="G135" s="292"/>
      <c r="H135" s="292"/>
      <c r="I135" s="292"/>
      <c r="J135" s="292"/>
      <c r="K135" s="159"/>
      <c r="L135" s="162"/>
      <c r="M135" s="250"/>
      <c r="N135" s="163"/>
      <c r="O135" s="164"/>
    </row>
    <row r="136">
      <c r="A136" s="337">
        <v>1.0</v>
      </c>
      <c r="B136" s="338" t="s">
        <v>241</v>
      </c>
      <c r="C136" s="339" t="s">
        <v>111</v>
      </c>
      <c r="D136" s="340">
        <v>3.5935894944048E14</v>
      </c>
      <c r="E136" s="341">
        <v>700.0</v>
      </c>
      <c r="F136" s="342">
        <v>680.0</v>
      </c>
      <c r="G136" s="343">
        <v>128.0</v>
      </c>
      <c r="H136" s="300" t="s">
        <v>242</v>
      </c>
      <c r="I136" s="301">
        <v>45780.0</v>
      </c>
      <c r="J136" s="301">
        <v>45872.0</v>
      </c>
      <c r="K136" s="302" t="s">
        <v>229</v>
      </c>
      <c r="L136" s="162"/>
      <c r="M136" s="250"/>
      <c r="N136" s="163"/>
      <c r="O136" s="164"/>
    </row>
    <row r="137">
      <c r="A137" s="26">
        <v>2.0</v>
      </c>
      <c r="B137" s="16" t="s">
        <v>243</v>
      </c>
      <c r="C137" s="344" t="s">
        <v>111</v>
      </c>
      <c r="D137" s="57">
        <v>3.54210979144141E14</v>
      </c>
      <c r="E137" s="183">
        <v>1350.0</v>
      </c>
      <c r="F137" s="20">
        <v>1300.0</v>
      </c>
      <c r="G137" s="21" t="s">
        <v>244</v>
      </c>
      <c r="H137" s="54" t="s">
        <v>245</v>
      </c>
      <c r="I137" s="247">
        <v>45787.0</v>
      </c>
      <c r="J137" s="247">
        <v>45879.0</v>
      </c>
      <c r="K137" s="47" t="s">
        <v>199</v>
      </c>
      <c r="L137" s="162"/>
      <c r="M137" s="250"/>
      <c r="N137" s="163"/>
      <c r="O137" s="164"/>
    </row>
    <row r="138">
      <c r="A138" s="26">
        <v>3.0</v>
      </c>
      <c r="B138" s="51" t="s">
        <v>18</v>
      </c>
      <c r="C138" s="91" t="s">
        <v>19</v>
      </c>
      <c r="D138" s="54">
        <v>3.5687211664362E14</v>
      </c>
      <c r="E138" s="142">
        <v>420.0</v>
      </c>
      <c r="F138" s="20">
        <v>400.0</v>
      </c>
      <c r="G138" s="121" t="s">
        <v>30</v>
      </c>
      <c r="H138" s="54" t="s">
        <v>246</v>
      </c>
      <c r="I138" s="237">
        <v>45787.0</v>
      </c>
      <c r="J138" s="237">
        <v>45879.0</v>
      </c>
      <c r="K138" s="308" t="s">
        <v>247</v>
      </c>
      <c r="L138" s="162"/>
      <c r="M138" s="250"/>
      <c r="N138" s="163"/>
      <c r="O138" s="164"/>
    </row>
    <row r="139">
      <c r="A139" s="26">
        <v>4.0</v>
      </c>
      <c r="B139" s="16" t="s">
        <v>248</v>
      </c>
      <c r="C139" s="345" t="s">
        <v>19</v>
      </c>
      <c r="D139" s="57">
        <v>3.50121914194568E14</v>
      </c>
      <c r="E139" s="304" t="s">
        <v>197</v>
      </c>
      <c r="F139" s="20">
        <v>890.0</v>
      </c>
      <c r="G139" s="21" t="s">
        <v>30</v>
      </c>
      <c r="H139" s="54" t="s">
        <v>249</v>
      </c>
      <c r="I139" s="237">
        <v>45787.0</v>
      </c>
      <c r="J139" s="237">
        <v>45879.0</v>
      </c>
      <c r="K139" s="47" t="s">
        <v>199</v>
      </c>
      <c r="L139" s="162"/>
      <c r="M139" s="250"/>
      <c r="N139" s="163"/>
      <c r="O139" s="164"/>
    </row>
    <row r="140">
      <c r="A140" s="337">
        <v>5.0</v>
      </c>
      <c r="B140" s="16" t="s">
        <v>243</v>
      </c>
      <c r="C140" s="344" t="s">
        <v>111</v>
      </c>
      <c r="D140" s="57">
        <v>3.5824552944311E14</v>
      </c>
      <c r="E140" s="304" t="s">
        <v>197</v>
      </c>
      <c r="F140" s="20">
        <v>1300.0</v>
      </c>
      <c r="G140" s="21" t="s">
        <v>244</v>
      </c>
      <c r="H140" s="54" t="s">
        <v>250</v>
      </c>
      <c r="I140" s="247">
        <v>45787.0</v>
      </c>
      <c r="J140" s="247">
        <v>45879.0</v>
      </c>
      <c r="K140" s="302" t="s">
        <v>251</v>
      </c>
      <c r="L140" s="162"/>
      <c r="M140" s="250"/>
      <c r="N140" s="163"/>
      <c r="O140" s="164"/>
    </row>
    <row r="141">
      <c r="A141" s="26">
        <v>6.0</v>
      </c>
      <c r="B141" s="244" t="s">
        <v>252</v>
      </c>
      <c r="C141" s="346" t="s">
        <v>19</v>
      </c>
      <c r="D141" s="195">
        <v>3.52991735550497E14</v>
      </c>
      <c r="E141" s="41">
        <v>570.0</v>
      </c>
      <c r="F141" s="205">
        <v>550.0</v>
      </c>
      <c r="G141" s="132" t="s">
        <v>63</v>
      </c>
      <c r="H141" s="54" t="s">
        <v>155</v>
      </c>
      <c r="I141" s="247">
        <v>45789.0</v>
      </c>
      <c r="J141" s="247">
        <v>45881.0</v>
      </c>
      <c r="K141" s="302" t="s">
        <v>229</v>
      </c>
      <c r="L141" s="162"/>
      <c r="M141" s="250"/>
      <c r="N141" s="163"/>
      <c r="O141" s="164"/>
    </row>
    <row r="142">
      <c r="A142" s="26">
        <v>7.0</v>
      </c>
      <c r="B142" s="51" t="s">
        <v>253</v>
      </c>
      <c r="C142" s="91" t="s">
        <v>19</v>
      </c>
      <c r="D142" s="54">
        <v>3.50108847058671E14</v>
      </c>
      <c r="E142" s="142">
        <v>570.0</v>
      </c>
      <c r="F142" s="20">
        <v>550.0</v>
      </c>
      <c r="G142" s="121" t="s">
        <v>63</v>
      </c>
      <c r="H142" s="54" t="s">
        <v>254</v>
      </c>
      <c r="I142" s="237">
        <v>45789.0</v>
      </c>
      <c r="J142" s="247">
        <v>45881.0</v>
      </c>
      <c r="K142" s="308" t="s">
        <v>130</v>
      </c>
      <c r="L142" s="162"/>
      <c r="M142" s="250"/>
      <c r="N142" s="163"/>
      <c r="O142" s="164"/>
    </row>
    <row r="143">
      <c r="A143" s="26">
        <v>8.0</v>
      </c>
      <c r="B143" s="51" t="s">
        <v>61</v>
      </c>
      <c r="C143" s="138" t="s">
        <v>19</v>
      </c>
      <c r="D143" s="54">
        <v>3.58091656402622E14</v>
      </c>
      <c r="E143" s="142">
        <v>570.0</v>
      </c>
      <c r="F143" s="20">
        <v>550.0</v>
      </c>
      <c r="G143" s="121" t="s">
        <v>23</v>
      </c>
      <c r="H143" s="22" t="s">
        <v>255</v>
      </c>
      <c r="I143" s="237">
        <v>45789.0</v>
      </c>
      <c r="J143" s="247">
        <v>45881.0</v>
      </c>
      <c r="K143" s="308" t="s">
        <v>130</v>
      </c>
      <c r="L143" s="162"/>
      <c r="M143" s="250"/>
      <c r="N143" s="163"/>
      <c r="O143" s="164"/>
    </row>
    <row r="144">
      <c r="A144" s="337">
        <v>9.0</v>
      </c>
      <c r="B144" s="16" t="s">
        <v>217</v>
      </c>
      <c r="C144" s="347" t="s">
        <v>19</v>
      </c>
      <c r="D144" s="57">
        <v>3.55656509222097E14</v>
      </c>
      <c r="E144" s="19">
        <v>670.0</v>
      </c>
      <c r="F144" s="142">
        <v>650.0</v>
      </c>
      <c r="G144" s="21" t="s">
        <v>63</v>
      </c>
      <c r="H144" s="54" t="s">
        <v>256</v>
      </c>
      <c r="I144" s="247">
        <v>45790.0</v>
      </c>
      <c r="J144" s="247">
        <v>45882.0</v>
      </c>
      <c r="K144" s="308" t="s">
        <v>257</v>
      </c>
      <c r="L144" s="162"/>
      <c r="M144" s="250"/>
      <c r="N144" s="163"/>
      <c r="O144" s="164"/>
    </row>
    <row r="145">
      <c r="A145" s="26">
        <v>10.0</v>
      </c>
      <c r="B145" s="51" t="s">
        <v>258</v>
      </c>
      <c r="C145" s="91" t="s">
        <v>19</v>
      </c>
      <c r="D145" s="120">
        <v>3.5318643505439E14</v>
      </c>
      <c r="E145" s="19">
        <v>500.0</v>
      </c>
      <c r="F145" s="183">
        <v>480.0</v>
      </c>
      <c r="G145" s="305" t="s">
        <v>220</v>
      </c>
      <c r="H145" s="193" t="s">
        <v>259</v>
      </c>
      <c r="I145" s="262">
        <v>45790.0</v>
      </c>
      <c r="J145" s="263">
        <v>45882.0</v>
      </c>
      <c r="K145" s="302" t="s">
        <v>229</v>
      </c>
      <c r="L145" s="162"/>
      <c r="M145" s="250"/>
      <c r="N145" s="163"/>
      <c r="O145" s="164"/>
    </row>
    <row r="146">
      <c r="A146" s="26">
        <v>11.0</v>
      </c>
      <c r="B146" s="16" t="s">
        <v>217</v>
      </c>
      <c r="C146" s="347" t="s">
        <v>19</v>
      </c>
      <c r="D146" s="57">
        <v>3.58823349697485E14</v>
      </c>
      <c r="E146" s="304" t="s">
        <v>197</v>
      </c>
      <c r="F146" s="20">
        <v>650.0</v>
      </c>
      <c r="G146" s="21" t="s">
        <v>63</v>
      </c>
      <c r="H146" s="193" t="s">
        <v>260</v>
      </c>
      <c r="I146" s="262">
        <v>45791.0</v>
      </c>
      <c r="J146" s="263">
        <v>45883.0</v>
      </c>
      <c r="K146" s="302" t="s">
        <v>261</v>
      </c>
      <c r="L146" s="162"/>
      <c r="M146" s="250"/>
      <c r="N146" s="163"/>
      <c r="O146" s="164"/>
    </row>
    <row r="147">
      <c r="A147" s="26">
        <v>12.0</v>
      </c>
      <c r="B147" s="16" t="s">
        <v>232</v>
      </c>
      <c r="C147" s="73" t="s">
        <v>19</v>
      </c>
      <c r="D147" s="57">
        <v>3.56964465994181E14</v>
      </c>
      <c r="E147" s="348">
        <v>1100.0</v>
      </c>
      <c r="F147" s="20">
        <v>1070.0</v>
      </c>
      <c r="G147" s="21" t="s">
        <v>262</v>
      </c>
      <c r="H147" s="54" t="s">
        <v>263</v>
      </c>
      <c r="I147" s="262">
        <v>45791.0</v>
      </c>
      <c r="J147" s="263">
        <v>45883.0</v>
      </c>
      <c r="K147" s="47" t="s">
        <v>264</v>
      </c>
      <c r="L147" s="162"/>
      <c r="M147" s="250"/>
      <c r="N147" s="163"/>
      <c r="O147" s="164"/>
    </row>
    <row r="148">
      <c r="A148" s="337">
        <v>13.0</v>
      </c>
      <c r="B148" s="51" t="s">
        <v>31</v>
      </c>
      <c r="C148" s="39" t="s">
        <v>19</v>
      </c>
      <c r="D148" s="54">
        <v>3.55169423676232E14</v>
      </c>
      <c r="E148" s="19">
        <v>370.0</v>
      </c>
      <c r="F148" s="183">
        <v>350.0</v>
      </c>
      <c r="G148" s="121" t="s">
        <v>43</v>
      </c>
      <c r="H148" s="54" t="s">
        <v>265</v>
      </c>
      <c r="I148" s="247">
        <v>45794.0</v>
      </c>
      <c r="J148" s="247">
        <v>45886.0</v>
      </c>
      <c r="K148" s="302" t="s">
        <v>229</v>
      </c>
      <c r="L148" s="162"/>
      <c r="M148" s="250"/>
      <c r="N148" s="163"/>
      <c r="O148" s="164"/>
    </row>
    <row r="149">
      <c r="A149" s="26">
        <v>14.0</v>
      </c>
      <c r="B149" s="16" t="s">
        <v>238</v>
      </c>
      <c r="C149" s="349" t="s">
        <v>19</v>
      </c>
      <c r="D149" s="57">
        <v>3.58649252457215E14</v>
      </c>
      <c r="E149" s="19">
        <v>770.0</v>
      </c>
      <c r="F149" s="183">
        <v>750.0</v>
      </c>
      <c r="G149" s="21" t="s">
        <v>63</v>
      </c>
      <c r="H149" s="54" t="s">
        <v>266</v>
      </c>
      <c r="I149" s="247">
        <v>45794.0</v>
      </c>
      <c r="J149" s="247">
        <v>45886.0</v>
      </c>
      <c r="K149" s="302" t="s">
        <v>225</v>
      </c>
      <c r="L149" s="162"/>
      <c r="M149" s="250"/>
      <c r="N149" s="163"/>
      <c r="O149" s="164"/>
    </row>
    <row r="150">
      <c r="A150" s="26">
        <v>15.0</v>
      </c>
      <c r="B150" s="16" t="s">
        <v>253</v>
      </c>
      <c r="C150" s="17" t="s">
        <v>19</v>
      </c>
      <c r="D150" s="57">
        <v>3.58091653314283E14</v>
      </c>
      <c r="E150" s="183">
        <v>570.0</v>
      </c>
      <c r="F150" s="20">
        <v>560.0</v>
      </c>
      <c r="G150" s="21" t="s">
        <v>30</v>
      </c>
      <c r="H150" s="54" t="s">
        <v>267</v>
      </c>
      <c r="I150" s="247">
        <v>45794.0</v>
      </c>
      <c r="J150" s="247">
        <v>45886.0</v>
      </c>
      <c r="K150" s="302" t="s">
        <v>225</v>
      </c>
      <c r="L150" s="162"/>
      <c r="M150" s="250"/>
      <c r="N150" s="163"/>
      <c r="O150" s="164"/>
    </row>
    <row r="151">
      <c r="A151" s="26">
        <v>16.0</v>
      </c>
      <c r="B151" s="16" t="s">
        <v>268</v>
      </c>
      <c r="C151" s="248" t="s">
        <v>111</v>
      </c>
      <c r="D151" s="57">
        <v>3.5035833351224E14</v>
      </c>
      <c r="E151" s="304" t="s">
        <v>197</v>
      </c>
      <c r="F151" s="20">
        <v>950.0</v>
      </c>
      <c r="G151" s="21">
        <v>128.0</v>
      </c>
      <c r="H151" s="54" t="s">
        <v>269</v>
      </c>
      <c r="I151" s="247">
        <v>45797.0</v>
      </c>
      <c r="J151" s="247">
        <v>45889.0</v>
      </c>
      <c r="K151" s="302" t="s">
        <v>270</v>
      </c>
      <c r="L151" s="162"/>
      <c r="M151" s="250"/>
      <c r="N151" s="163"/>
      <c r="O151" s="164"/>
    </row>
    <row r="152">
      <c r="A152" s="337">
        <v>17.0</v>
      </c>
      <c r="B152" s="244" t="s">
        <v>271</v>
      </c>
      <c r="C152" s="350" t="s">
        <v>111</v>
      </c>
      <c r="D152" s="195" t="s">
        <v>272</v>
      </c>
      <c r="E152" s="41">
        <v>400.0</v>
      </c>
      <c r="F152" s="42" t="s">
        <v>98</v>
      </c>
      <c r="G152" s="132"/>
      <c r="H152" s="270" t="s">
        <v>273</v>
      </c>
      <c r="I152" s="247">
        <v>45797.0</v>
      </c>
      <c r="J152" s="247">
        <v>45889.0</v>
      </c>
      <c r="K152" s="308" t="s">
        <v>274</v>
      </c>
      <c r="L152" s="162"/>
      <c r="M152" s="250"/>
      <c r="N152" s="163"/>
      <c r="O152" s="164"/>
    </row>
    <row r="153">
      <c r="A153" s="26">
        <v>18.0</v>
      </c>
      <c r="B153" s="244" t="s">
        <v>189</v>
      </c>
      <c r="C153" s="350" t="s">
        <v>19</v>
      </c>
      <c r="D153" s="195">
        <v>3.54078646765642E14</v>
      </c>
      <c r="E153" s="304" t="s">
        <v>197</v>
      </c>
      <c r="F153" s="42">
        <v>900.0</v>
      </c>
      <c r="G153" s="132" t="s">
        <v>275</v>
      </c>
      <c r="H153" s="270" t="s">
        <v>276</v>
      </c>
      <c r="I153" s="247">
        <v>45797.0</v>
      </c>
      <c r="J153" s="247">
        <v>45889.0</v>
      </c>
      <c r="K153" s="308" t="s">
        <v>25</v>
      </c>
      <c r="L153" s="162"/>
      <c r="M153" s="250"/>
      <c r="N153" s="163"/>
      <c r="O153" s="164"/>
    </row>
    <row r="154">
      <c r="A154" s="26">
        <v>19.0</v>
      </c>
      <c r="B154" s="244" t="s">
        <v>277</v>
      </c>
      <c r="C154" s="239" t="s">
        <v>111</v>
      </c>
      <c r="D154" s="195">
        <v>3.5270394409148E14</v>
      </c>
      <c r="E154" s="205">
        <v>1290.0</v>
      </c>
      <c r="F154" s="42">
        <v>1200.0</v>
      </c>
      <c r="G154" s="132">
        <v>256.0</v>
      </c>
      <c r="H154" s="270" t="s">
        <v>278</v>
      </c>
      <c r="I154" s="247">
        <v>45798.0</v>
      </c>
      <c r="J154" s="247">
        <v>45890.0</v>
      </c>
      <c r="K154" s="308" t="s">
        <v>130</v>
      </c>
      <c r="L154" s="162"/>
      <c r="M154" s="250"/>
      <c r="N154" s="163"/>
      <c r="O154" s="164"/>
    </row>
    <row r="155">
      <c r="A155" s="26">
        <v>20.0</v>
      </c>
      <c r="B155" s="244" t="s">
        <v>279</v>
      </c>
      <c r="C155" s="351" t="s">
        <v>111</v>
      </c>
      <c r="D155" s="195">
        <v>3.53941540249727E14</v>
      </c>
      <c r="E155" s="304" t="s">
        <v>197</v>
      </c>
      <c r="F155" s="42">
        <v>1250.0</v>
      </c>
      <c r="G155" s="132">
        <v>256.0</v>
      </c>
      <c r="H155" s="54" t="s">
        <v>280</v>
      </c>
      <c r="I155" s="247">
        <v>45798.0</v>
      </c>
      <c r="J155" s="247">
        <v>45890.0</v>
      </c>
      <c r="K155" s="308" t="s">
        <v>130</v>
      </c>
      <c r="L155" s="162"/>
      <c r="M155" s="250"/>
      <c r="N155" s="163"/>
      <c r="O155" s="164"/>
    </row>
    <row r="156">
      <c r="A156" s="337">
        <v>21.0</v>
      </c>
      <c r="B156" s="16" t="s">
        <v>277</v>
      </c>
      <c r="C156" s="352" t="s">
        <v>111</v>
      </c>
      <c r="D156" s="57">
        <v>3.59896922858004E14</v>
      </c>
      <c r="E156" s="304" t="s">
        <v>197</v>
      </c>
      <c r="F156" s="20">
        <v>1150.0</v>
      </c>
      <c r="G156" s="21">
        <v>128.0</v>
      </c>
      <c r="H156" s="54" t="s">
        <v>281</v>
      </c>
      <c r="I156" s="247">
        <v>45798.0</v>
      </c>
      <c r="J156" s="247">
        <v>45890.0</v>
      </c>
      <c r="K156" s="302" t="s">
        <v>282</v>
      </c>
      <c r="L156" s="162"/>
      <c r="M156" s="250"/>
      <c r="N156" s="163"/>
      <c r="O156" s="164"/>
    </row>
    <row r="157">
      <c r="A157" s="26">
        <v>22.0</v>
      </c>
      <c r="B157" s="244" t="s">
        <v>92</v>
      </c>
      <c r="C157" s="239" t="s">
        <v>19</v>
      </c>
      <c r="D157" s="195">
        <v>3.51335413873618E14</v>
      </c>
      <c r="E157" s="41">
        <v>770.0</v>
      </c>
      <c r="F157" s="205">
        <v>750.0</v>
      </c>
      <c r="G157" s="132" t="s">
        <v>209</v>
      </c>
      <c r="H157" s="54" t="s">
        <v>283</v>
      </c>
      <c r="I157" s="247">
        <v>45799.0</v>
      </c>
      <c r="J157" s="247">
        <v>45891.0</v>
      </c>
      <c r="K157" s="302" t="s">
        <v>284</v>
      </c>
      <c r="L157" s="162"/>
      <c r="M157" s="250"/>
      <c r="N157" s="163"/>
      <c r="O157" s="164"/>
    </row>
    <row r="158">
      <c r="A158" s="26">
        <v>23.0</v>
      </c>
      <c r="B158" s="51" t="s">
        <v>252</v>
      </c>
      <c r="C158" s="353" t="s">
        <v>19</v>
      </c>
      <c r="D158" s="54">
        <v>3.51309646412759E14</v>
      </c>
      <c r="E158" s="19">
        <v>570.0</v>
      </c>
      <c r="F158" s="183">
        <v>550.0</v>
      </c>
      <c r="G158" s="121" t="s">
        <v>209</v>
      </c>
      <c r="H158" s="54" t="s">
        <v>285</v>
      </c>
      <c r="I158" s="247">
        <v>45800.0</v>
      </c>
      <c r="J158" s="247">
        <v>45892.0</v>
      </c>
      <c r="K158" s="47" t="s">
        <v>199</v>
      </c>
      <c r="L158" s="162"/>
      <c r="M158" s="250"/>
      <c r="N158" s="163"/>
      <c r="O158" s="164"/>
    </row>
    <row r="159">
      <c r="A159" s="26">
        <v>24.0</v>
      </c>
      <c r="B159" s="16" t="s">
        <v>104</v>
      </c>
      <c r="C159" s="354" t="s">
        <v>19</v>
      </c>
      <c r="D159" s="57">
        <v>3.55407369030745E14</v>
      </c>
      <c r="E159" s="19">
        <v>920.0</v>
      </c>
      <c r="F159" s="304" t="s">
        <v>197</v>
      </c>
      <c r="G159" s="21" t="s">
        <v>170</v>
      </c>
      <c r="H159" s="44" t="s">
        <v>286</v>
      </c>
      <c r="I159" s="247">
        <v>45801.0</v>
      </c>
      <c r="J159" s="237">
        <v>45893.0</v>
      </c>
      <c r="K159" s="308" t="s">
        <v>274</v>
      </c>
      <c r="L159" s="162"/>
      <c r="M159" s="250"/>
      <c r="N159" s="163"/>
      <c r="O159" s="164"/>
    </row>
    <row r="160">
      <c r="A160" s="337">
        <v>25.0</v>
      </c>
      <c r="B160" s="16" t="s">
        <v>92</v>
      </c>
      <c r="C160" s="355" t="s">
        <v>19</v>
      </c>
      <c r="D160" s="57">
        <v>3.53792277843483E14</v>
      </c>
      <c r="E160" s="304" t="s">
        <v>197</v>
      </c>
      <c r="F160" s="20">
        <v>800.0</v>
      </c>
      <c r="G160" s="21" t="s">
        <v>287</v>
      </c>
      <c r="H160" s="54" t="s">
        <v>288</v>
      </c>
      <c r="I160" s="247">
        <v>45803.0</v>
      </c>
      <c r="J160" s="247">
        <v>45803.0</v>
      </c>
      <c r="K160" s="302" t="s">
        <v>289</v>
      </c>
      <c r="L160" s="162"/>
      <c r="M160" s="250"/>
      <c r="N160" s="163"/>
      <c r="O160" s="164"/>
    </row>
    <row r="161">
      <c r="A161" s="26">
        <v>26.0</v>
      </c>
      <c r="B161" s="356" t="s">
        <v>290</v>
      </c>
      <c r="C161" s="138" t="s">
        <v>19</v>
      </c>
      <c r="D161" s="131">
        <v>3.53781180083337E14</v>
      </c>
      <c r="E161" s="19">
        <v>580.0</v>
      </c>
      <c r="F161" s="142">
        <v>560.0</v>
      </c>
      <c r="G161" s="53" t="s">
        <v>30</v>
      </c>
      <c r="H161" s="54" t="s">
        <v>291</v>
      </c>
      <c r="I161" s="237">
        <v>45804.0</v>
      </c>
      <c r="J161" s="237">
        <v>45896.0</v>
      </c>
      <c r="K161" s="308" t="s">
        <v>130</v>
      </c>
      <c r="L161" s="162"/>
      <c r="M161" s="250"/>
      <c r="N161" s="163"/>
      <c r="O161" s="164"/>
    </row>
    <row r="162">
      <c r="A162" s="26">
        <v>27.0</v>
      </c>
      <c r="B162" s="51" t="s">
        <v>252</v>
      </c>
      <c r="C162" s="130" t="s">
        <v>19</v>
      </c>
      <c r="D162" s="131">
        <v>3.51138106650552E14</v>
      </c>
      <c r="E162" s="41">
        <v>570.0</v>
      </c>
      <c r="F162" s="205">
        <v>550.0</v>
      </c>
      <c r="G162" s="132" t="s">
        <v>63</v>
      </c>
      <c r="H162" s="54" t="s">
        <v>292</v>
      </c>
      <c r="I162" s="247">
        <v>45804.0</v>
      </c>
      <c r="J162" s="247">
        <v>45896.0</v>
      </c>
      <c r="K162" s="302" t="s">
        <v>192</v>
      </c>
      <c r="L162" s="162"/>
      <c r="M162" s="250"/>
      <c r="N162" s="163"/>
      <c r="O162" s="164"/>
    </row>
    <row r="163">
      <c r="A163" s="26">
        <v>28.0</v>
      </c>
      <c r="B163" s="274" t="s">
        <v>253</v>
      </c>
      <c r="C163" s="28" t="s">
        <v>19</v>
      </c>
      <c r="D163" s="275">
        <v>3.58891501393177E14</v>
      </c>
      <c r="E163" s="30">
        <v>570.0</v>
      </c>
      <c r="F163" s="304" t="s">
        <v>197</v>
      </c>
      <c r="G163" s="277" t="s">
        <v>65</v>
      </c>
      <c r="H163" s="54" t="s">
        <v>293</v>
      </c>
      <c r="I163" s="247">
        <v>45805.0</v>
      </c>
      <c r="J163" s="247">
        <v>45897.0</v>
      </c>
      <c r="K163" s="302" t="s">
        <v>294</v>
      </c>
      <c r="L163" s="162"/>
      <c r="M163" s="250"/>
      <c r="N163" s="163"/>
      <c r="O163" s="164"/>
    </row>
    <row r="164">
      <c r="A164" s="337">
        <v>29.0</v>
      </c>
      <c r="B164" s="16" t="s">
        <v>295</v>
      </c>
      <c r="C164" s="248" t="s">
        <v>111</v>
      </c>
      <c r="D164" s="57">
        <v>3.58536505630529E14</v>
      </c>
      <c r="E164" s="304" t="s">
        <v>197</v>
      </c>
      <c r="F164" s="20">
        <v>1350.0</v>
      </c>
      <c r="G164" s="21">
        <v>256.0</v>
      </c>
      <c r="H164" s="54" t="s">
        <v>296</v>
      </c>
      <c r="I164" s="174">
        <v>45806.0</v>
      </c>
      <c r="J164" s="174">
        <v>45806.0</v>
      </c>
      <c r="K164" s="47" t="s">
        <v>297</v>
      </c>
      <c r="L164" s="162"/>
      <c r="M164" s="250"/>
      <c r="N164" s="163"/>
      <c r="O164" s="164"/>
    </row>
    <row r="165">
      <c r="A165" s="26">
        <v>30.0</v>
      </c>
      <c r="B165" s="278" t="s">
        <v>62</v>
      </c>
      <c r="C165" s="357" t="s">
        <v>19</v>
      </c>
      <c r="D165" s="195">
        <v>3.52408238741762E14</v>
      </c>
      <c r="E165" s="310">
        <v>570.0</v>
      </c>
      <c r="F165" s="280">
        <v>550.0</v>
      </c>
      <c r="G165" s="281" t="s">
        <v>84</v>
      </c>
      <c r="H165" s="54" t="s">
        <v>298</v>
      </c>
      <c r="I165" s="174">
        <v>45806.0</v>
      </c>
      <c r="J165" s="174">
        <v>45898.0</v>
      </c>
      <c r="K165" s="302" t="s">
        <v>229</v>
      </c>
      <c r="L165" s="162"/>
      <c r="M165" s="250"/>
      <c r="N165" s="163"/>
      <c r="O165" s="164"/>
    </row>
    <row r="166">
      <c r="A166" s="26">
        <v>31.0</v>
      </c>
      <c r="B166" s="16" t="s">
        <v>299</v>
      </c>
      <c r="C166" s="358" t="s">
        <v>111</v>
      </c>
      <c r="D166" s="57">
        <v>3.57205987027673E14</v>
      </c>
      <c r="E166" s="19">
        <v>1390.0</v>
      </c>
      <c r="F166" s="183">
        <v>1350.0</v>
      </c>
      <c r="G166" s="21">
        <v>256.0</v>
      </c>
      <c r="H166" s="54" t="s">
        <v>300</v>
      </c>
      <c r="I166" s="174">
        <v>45806.0</v>
      </c>
      <c r="J166" s="174">
        <v>45806.0</v>
      </c>
      <c r="K166" s="47" t="s">
        <v>199</v>
      </c>
      <c r="L166" s="162"/>
      <c r="M166" s="250"/>
      <c r="N166" s="163"/>
      <c r="O166" s="164"/>
    </row>
    <row r="167">
      <c r="A167" s="26">
        <v>32.0</v>
      </c>
      <c r="B167" s="16" t="s">
        <v>277</v>
      </c>
      <c r="C167" s="344" t="s">
        <v>111</v>
      </c>
      <c r="D167" s="57">
        <v>3.59072843511003E14</v>
      </c>
      <c r="E167" s="304" t="s">
        <v>197</v>
      </c>
      <c r="F167" s="20">
        <v>1250.0</v>
      </c>
      <c r="G167" s="21">
        <v>256.0</v>
      </c>
      <c r="H167" s="54" t="s">
        <v>301</v>
      </c>
      <c r="I167" s="174">
        <v>45807.0</v>
      </c>
      <c r="J167" s="174">
        <v>45807.0</v>
      </c>
      <c r="K167" s="47" t="s">
        <v>302</v>
      </c>
      <c r="L167" s="162"/>
      <c r="M167" s="250"/>
      <c r="N167" s="163"/>
      <c r="O167" s="164"/>
    </row>
    <row r="168">
      <c r="A168" s="337">
        <v>33.0</v>
      </c>
      <c r="B168" s="16" t="s">
        <v>303</v>
      </c>
      <c r="C168" s="359" t="s">
        <v>111</v>
      </c>
      <c r="D168" s="57">
        <v>3.57397892663146E14</v>
      </c>
      <c r="E168" s="19" t="s">
        <v>98</v>
      </c>
      <c r="F168" s="20">
        <v>725.0</v>
      </c>
      <c r="G168" s="21" t="s">
        <v>304</v>
      </c>
      <c r="H168" s="300" t="s">
        <v>305</v>
      </c>
      <c r="I168" s="301">
        <v>45789.0</v>
      </c>
      <c r="J168" s="301">
        <v>45820.0</v>
      </c>
      <c r="K168" s="324" t="s">
        <v>236</v>
      </c>
      <c r="L168" s="164"/>
      <c r="M168" s="250"/>
      <c r="N168" s="163"/>
      <c r="O168" s="164"/>
    </row>
    <row r="169">
      <c r="A169" s="26">
        <v>34.0</v>
      </c>
      <c r="B169" s="16" t="s">
        <v>232</v>
      </c>
      <c r="C169" s="73" t="s">
        <v>19</v>
      </c>
      <c r="D169" s="57">
        <v>3.56964993339628E14</v>
      </c>
      <c r="E169" s="19">
        <v>910.0</v>
      </c>
      <c r="F169" s="360">
        <v>1170.0</v>
      </c>
      <c r="G169" s="21" t="s">
        <v>306</v>
      </c>
      <c r="H169" s="275" t="s">
        <v>235</v>
      </c>
      <c r="I169" s="263">
        <v>45803.0</v>
      </c>
      <c r="J169" s="247">
        <v>45834.0</v>
      </c>
      <c r="K169" s="324" t="s">
        <v>236</v>
      </c>
      <c r="L169" s="164"/>
      <c r="M169" s="250"/>
      <c r="N169" s="163"/>
      <c r="O169" s="164"/>
    </row>
    <row r="170">
      <c r="A170" s="26">
        <v>35.0</v>
      </c>
      <c r="B170" s="16" t="s">
        <v>307</v>
      </c>
      <c r="C170" s="361" t="s">
        <v>19</v>
      </c>
      <c r="D170" s="362">
        <v>3.58798485144437E14</v>
      </c>
      <c r="E170" s="19">
        <v>460.0</v>
      </c>
      <c r="F170" s="360">
        <v>1170.0</v>
      </c>
      <c r="G170" s="21" t="s">
        <v>63</v>
      </c>
      <c r="H170" s="275" t="s">
        <v>235</v>
      </c>
      <c r="I170" s="263">
        <v>45803.0</v>
      </c>
      <c r="J170" s="247">
        <v>45834.0</v>
      </c>
      <c r="K170" s="324" t="s">
        <v>236</v>
      </c>
      <c r="L170" s="164"/>
      <c r="M170" s="250"/>
      <c r="N170" s="163"/>
      <c r="O170" s="164"/>
    </row>
    <row r="171">
      <c r="A171" s="26">
        <v>36.0</v>
      </c>
      <c r="B171" s="16" t="s">
        <v>237</v>
      </c>
      <c r="C171" s="363" t="s">
        <v>19</v>
      </c>
      <c r="D171" s="57">
        <v>3.56370189895593E14</v>
      </c>
      <c r="E171" s="19">
        <v>580.0</v>
      </c>
      <c r="F171" s="360">
        <v>1170.0</v>
      </c>
      <c r="G171" s="21" t="s">
        <v>30</v>
      </c>
      <c r="H171" s="275" t="s">
        <v>235</v>
      </c>
      <c r="I171" s="263">
        <v>45803.0</v>
      </c>
      <c r="J171" s="247">
        <v>45834.0</v>
      </c>
      <c r="K171" s="324" t="s">
        <v>236</v>
      </c>
      <c r="L171" s="164"/>
      <c r="M171" s="250"/>
      <c r="N171" s="163"/>
      <c r="O171" s="164"/>
    </row>
    <row r="172">
      <c r="A172" s="337">
        <v>37.0</v>
      </c>
      <c r="B172" s="16" t="s">
        <v>308</v>
      </c>
      <c r="C172" s="354" t="s">
        <v>19</v>
      </c>
      <c r="D172" s="57">
        <v>3.51188226705935E14</v>
      </c>
      <c r="E172" s="19">
        <v>760.0</v>
      </c>
      <c r="F172" s="360">
        <v>1170.0</v>
      </c>
      <c r="G172" s="364" t="s">
        <v>65</v>
      </c>
      <c r="H172" s="275" t="s">
        <v>235</v>
      </c>
      <c r="I172" s="263">
        <v>45804.0</v>
      </c>
      <c r="J172" s="247">
        <v>45804.0</v>
      </c>
      <c r="K172" s="324" t="s">
        <v>236</v>
      </c>
      <c r="L172" s="164"/>
      <c r="M172" s="250"/>
      <c r="N172" s="163"/>
      <c r="O172" s="164"/>
    </row>
    <row r="173">
      <c r="A173" s="336" t="s">
        <v>140</v>
      </c>
      <c r="B173" s="292"/>
      <c r="C173" s="292"/>
      <c r="D173" s="292"/>
      <c r="E173" s="292"/>
      <c r="F173" s="292"/>
      <c r="G173" s="292"/>
      <c r="H173" s="292"/>
      <c r="I173" s="292"/>
      <c r="J173" s="292"/>
      <c r="K173" s="159"/>
      <c r="L173" s="164"/>
      <c r="M173" s="164"/>
      <c r="N173" s="162"/>
      <c r="O173" s="164"/>
    </row>
    <row r="174">
      <c r="A174" s="15">
        <v>1.0</v>
      </c>
      <c r="B174" s="356" t="s">
        <v>309</v>
      </c>
      <c r="C174" s="365" t="s">
        <v>19</v>
      </c>
      <c r="D174" s="131">
        <v>3.50404163831118E14</v>
      </c>
      <c r="E174" s="41">
        <v>420.0</v>
      </c>
      <c r="F174" s="218">
        <v>400.0</v>
      </c>
      <c r="G174" s="366" t="s">
        <v>30</v>
      </c>
      <c r="H174" s="44" t="s">
        <v>310</v>
      </c>
      <c r="I174" s="237">
        <v>45810.0</v>
      </c>
      <c r="J174" s="237">
        <v>45902.0</v>
      </c>
      <c r="K174" s="308" t="s">
        <v>130</v>
      </c>
      <c r="L174" s="164"/>
      <c r="M174" s="164"/>
      <c r="N174" s="162"/>
      <c r="O174" s="164"/>
    </row>
    <row r="175">
      <c r="A175" s="15">
        <v>2.0</v>
      </c>
      <c r="B175" s="51" t="s">
        <v>311</v>
      </c>
      <c r="C175" s="91" t="s">
        <v>19</v>
      </c>
      <c r="D175" s="54">
        <v>3.53042116337549E14</v>
      </c>
      <c r="E175" s="304" t="s">
        <v>197</v>
      </c>
      <c r="F175" s="20">
        <v>500.0</v>
      </c>
      <c r="G175" s="121" t="s">
        <v>32</v>
      </c>
      <c r="H175" s="54" t="s">
        <v>312</v>
      </c>
      <c r="I175" s="247">
        <v>45811.0</v>
      </c>
      <c r="J175" s="247">
        <v>45903.0</v>
      </c>
      <c r="K175" s="47" t="s">
        <v>313</v>
      </c>
      <c r="L175" s="164"/>
      <c r="M175" s="164"/>
      <c r="N175" s="162"/>
      <c r="O175" s="164"/>
    </row>
    <row r="176">
      <c r="A176" s="26">
        <v>3.0</v>
      </c>
      <c r="B176" s="16" t="s">
        <v>200</v>
      </c>
      <c r="C176" s="248" t="s">
        <v>111</v>
      </c>
      <c r="D176" s="57">
        <v>3.56845454892371E14</v>
      </c>
      <c r="E176" s="183">
        <v>700.0</v>
      </c>
      <c r="F176" s="20">
        <v>680.0</v>
      </c>
      <c r="G176" s="21">
        <v>128.0</v>
      </c>
      <c r="H176" s="57" t="s">
        <v>314</v>
      </c>
      <c r="I176" s="247">
        <v>45811.0</v>
      </c>
      <c r="J176" s="247">
        <v>45903.0</v>
      </c>
      <c r="K176" s="47" t="s">
        <v>315</v>
      </c>
      <c r="L176" s="164"/>
      <c r="M176" s="164"/>
      <c r="N176" s="162"/>
      <c r="O176" s="164"/>
    </row>
    <row r="177">
      <c r="A177" s="26">
        <v>4.0</v>
      </c>
      <c r="B177" s="16" t="s">
        <v>316</v>
      </c>
      <c r="C177" s="248" t="s">
        <v>111</v>
      </c>
      <c r="D177" s="57">
        <v>3.57234298028477E14</v>
      </c>
      <c r="E177" s="19">
        <v>1190.0</v>
      </c>
      <c r="F177" s="304" t="s">
        <v>197</v>
      </c>
      <c r="G177" s="121">
        <v>128.0</v>
      </c>
      <c r="H177" s="54" t="s">
        <v>317</v>
      </c>
      <c r="I177" s="247">
        <v>45811.0</v>
      </c>
      <c r="J177" s="247">
        <v>45903.0</v>
      </c>
      <c r="K177" s="47" t="s">
        <v>318</v>
      </c>
      <c r="L177" s="164"/>
      <c r="M177" s="164"/>
      <c r="N177" s="162"/>
      <c r="O177" s="164"/>
    </row>
    <row r="178">
      <c r="A178" s="26">
        <v>5.0</v>
      </c>
      <c r="B178" s="16" t="s">
        <v>61</v>
      </c>
      <c r="C178" s="367" t="s">
        <v>19</v>
      </c>
      <c r="D178" s="57">
        <v>3.52164237240047E14</v>
      </c>
      <c r="E178" s="19">
        <v>570.0</v>
      </c>
      <c r="F178" s="183">
        <v>550.0</v>
      </c>
      <c r="G178" s="21" t="s">
        <v>65</v>
      </c>
      <c r="H178" s="54" t="s">
        <v>319</v>
      </c>
      <c r="I178" s="247">
        <v>45812.0</v>
      </c>
      <c r="J178" s="247">
        <v>45812.0</v>
      </c>
      <c r="K178" s="47" t="s">
        <v>315</v>
      </c>
      <c r="L178" s="164"/>
      <c r="M178" s="164"/>
      <c r="N178" s="162"/>
      <c r="O178" s="164"/>
    </row>
    <row r="179">
      <c r="A179" s="15">
        <v>6.0</v>
      </c>
      <c r="B179" s="16" t="s">
        <v>320</v>
      </c>
      <c r="C179" s="344" t="s">
        <v>111</v>
      </c>
      <c r="D179" s="57">
        <v>3.54222859462733E14</v>
      </c>
      <c r="E179" s="142">
        <v>890.0</v>
      </c>
      <c r="F179" s="20">
        <v>840.0</v>
      </c>
      <c r="G179" s="21">
        <v>128.0</v>
      </c>
      <c r="H179" s="44" t="s">
        <v>321</v>
      </c>
      <c r="I179" s="247">
        <v>45812.0</v>
      </c>
      <c r="J179" s="247">
        <v>45904.0</v>
      </c>
      <c r="K179" s="308" t="s">
        <v>322</v>
      </c>
      <c r="L179" s="164"/>
      <c r="M179" s="164"/>
      <c r="N179" s="162"/>
      <c r="O179" s="164"/>
    </row>
    <row r="180">
      <c r="A180" s="15">
        <v>7.0</v>
      </c>
      <c r="B180" s="16" t="s">
        <v>323</v>
      </c>
      <c r="C180" s="368" t="s">
        <v>111</v>
      </c>
      <c r="D180" s="57">
        <v>3.51670274949473E14</v>
      </c>
      <c r="E180" s="183">
        <v>1290.0</v>
      </c>
      <c r="F180" s="20">
        <v>1250.0</v>
      </c>
      <c r="G180" s="21">
        <v>256.0</v>
      </c>
      <c r="H180" s="54" t="s">
        <v>324</v>
      </c>
      <c r="I180" s="247">
        <v>45813.0</v>
      </c>
      <c r="J180" s="247">
        <v>45905.0</v>
      </c>
      <c r="K180" s="47" t="s">
        <v>325</v>
      </c>
      <c r="L180" s="164"/>
      <c r="M180" s="164"/>
      <c r="N180" s="162"/>
      <c r="O180" s="164"/>
    </row>
    <row r="181">
      <c r="A181" s="26">
        <v>8.0</v>
      </c>
      <c r="B181" s="244" t="s">
        <v>61</v>
      </c>
      <c r="C181" s="369" t="s">
        <v>19</v>
      </c>
      <c r="D181" s="195">
        <v>3.52180447062195E14</v>
      </c>
      <c r="E181" s="205">
        <v>570.0</v>
      </c>
      <c r="F181" s="42">
        <v>550.0</v>
      </c>
      <c r="G181" s="132" t="s">
        <v>220</v>
      </c>
      <c r="H181" s="54" t="s">
        <v>326</v>
      </c>
      <c r="I181" s="247">
        <v>45813.0</v>
      </c>
      <c r="J181" s="247">
        <v>45813.0</v>
      </c>
      <c r="K181" s="47" t="s">
        <v>327</v>
      </c>
      <c r="L181" s="164"/>
      <c r="M181" s="164"/>
      <c r="N181" s="162"/>
      <c r="O181" s="164"/>
    </row>
    <row r="182">
      <c r="A182" s="26">
        <v>9.0</v>
      </c>
      <c r="B182" s="16" t="s">
        <v>328</v>
      </c>
      <c r="C182" s="248" t="s">
        <v>111</v>
      </c>
      <c r="D182" s="57">
        <v>3.56541628724695E14</v>
      </c>
      <c r="E182" s="19">
        <v>1390.0</v>
      </c>
      <c r="F182" s="183">
        <v>1350.0</v>
      </c>
      <c r="G182" s="21">
        <v>256.0</v>
      </c>
      <c r="H182" s="54" t="s">
        <v>329</v>
      </c>
      <c r="I182" s="247">
        <v>45814.0</v>
      </c>
      <c r="J182" s="247">
        <v>45906.0</v>
      </c>
      <c r="K182" s="47" t="s">
        <v>330</v>
      </c>
      <c r="L182" s="164"/>
      <c r="M182" s="164"/>
      <c r="N182" s="162"/>
      <c r="O182" s="164"/>
    </row>
    <row r="183">
      <c r="A183" s="26">
        <v>10.0</v>
      </c>
      <c r="B183" s="51" t="s">
        <v>253</v>
      </c>
      <c r="C183" s="91" t="s">
        <v>19</v>
      </c>
      <c r="D183" s="54">
        <v>3.54066787645285E14</v>
      </c>
      <c r="E183" s="19">
        <v>570.0</v>
      </c>
      <c r="F183" s="183">
        <v>550.0</v>
      </c>
      <c r="G183" s="121" t="s">
        <v>220</v>
      </c>
      <c r="H183" s="54" t="s">
        <v>331</v>
      </c>
      <c r="I183" s="247">
        <v>45815.0</v>
      </c>
      <c r="J183" s="247">
        <v>45907.0</v>
      </c>
      <c r="K183" s="47" t="s">
        <v>315</v>
      </c>
      <c r="L183" s="164"/>
      <c r="M183" s="164"/>
      <c r="N183" s="162"/>
      <c r="O183" s="164"/>
    </row>
    <row r="184">
      <c r="A184" s="15">
        <v>11.0</v>
      </c>
      <c r="B184" s="16" t="s">
        <v>219</v>
      </c>
      <c r="C184" s="363" t="s">
        <v>19</v>
      </c>
      <c r="D184" s="57">
        <v>3.51855180154082E14</v>
      </c>
      <c r="E184" s="19">
        <v>670.0</v>
      </c>
      <c r="F184" s="183">
        <v>650.0</v>
      </c>
      <c r="G184" s="21" t="s">
        <v>23</v>
      </c>
      <c r="H184" s="54" t="s">
        <v>332</v>
      </c>
      <c r="I184" s="247">
        <v>45815.0</v>
      </c>
      <c r="J184" s="247">
        <v>45907.0</v>
      </c>
      <c r="K184" s="47" t="s">
        <v>333</v>
      </c>
      <c r="L184" s="164"/>
      <c r="M184" s="164"/>
      <c r="N184" s="162"/>
      <c r="O184" s="164"/>
    </row>
    <row r="185">
      <c r="A185" s="15">
        <v>12.0</v>
      </c>
      <c r="B185" s="244" t="s">
        <v>253</v>
      </c>
      <c r="C185" s="251" t="s">
        <v>19</v>
      </c>
      <c r="D185" s="195">
        <v>3.53504869829451E14</v>
      </c>
      <c r="E185" s="41">
        <v>570.0</v>
      </c>
      <c r="F185" s="42">
        <v>550.0</v>
      </c>
      <c r="G185" s="132" t="s">
        <v>20</v>
      </c>
      <c r="H185" s="54" t="s">
        <v>334</v>
      </c>
      <c r="I185" s="247">
        <v>45817.0</v>
      </c>
      <c r="J185" s="247">
        <v>45817.0</v>
      </c>
      <c r="K185" s="47" t="s">
        <v>335</v>
      </c>
      <c r="L185" s="164"/>
      <c r="M185" s="164"/>
      <c r="N185" s="162"/>
      <c r="O185" s="164"/>
    </row>
    <row r="186">
      <c r="A186" s="26">
        <v>13.0</v>
      </c>
      <c r="B186" s="370" t="s">
        <v>336</v>
      </c>
      <c r="C186" s="371" t="s">
        <v>19</v>
      </c>
      <c r="D186" s="193">
        <v>3.50905823877952E14</v>
      </c>
      <c r="E186" s="372">
        <v>580.0</v>
      </c>
      <c r="F186" s="373">
        <v>560.0</v>
      </c>
      <c r="G186" s="374" t="s">
        <v>30</v>
      </c>
      <c r="H186" s="54" t="s">
        <v>337</v>
      </c>
      <c r="I186" s="247">
        <v>45818.0</v>
      </c>
      <c r="J186" s="247">
        <v>45910.0</v>
      </c>
      <c r="K186" s="47" t="s">
        <v>333</v>
      </c>
      <c r="L186" s="164"/>
      <c r="M186" s="164"/>
      <c r="N186" s="162"/>
      <c r="O186" s="164"/>
    </row>
    <row r="187">
      <c r="A187" s="26">
        <v>14.0</v>
      </c>
      <c r="B187" s="51" t="s">
        <v>61</v>
      </c>
      <c r="C187" s="369" t="s">
        <v>19</v>
      </c>
      <c r="D187" s="131">
        <v>3.53341838732106E14</v>
      </c>
      <c r="E187" s="205">
        <v>590.0</v>
      </c>
      <c r="F187" s="42">
        <v>570.0</v>
      </c>
      <c r="G187" s="53" t="s">
        <v>30</v>
      </c>
      <c r="H187" s="54" t="s">
        <v>338</v>
      </c>
      <c r="I187" s="247">
        <v>45820.0</v>
      </c>
      <c r="J187" s="247">
        <v>45912.0</v>
      </c>
      <c r="K187" s="47" t="s">
        <v>339</v>
      </c>
      <c r="L187" s="164"/>
      <c r="M187" s="164"/>
      <c r="N187" s="162"/>
      <c r="O187" s="164"/>
    </row>
    <row r="188">
      <c r="A188" s="26">
        <v>15.0</v>
      </c>
      <c r="B188" s="51" t="s">
        <v>340</v>
      </c>
      <c r="C188" s="375" t="s">
        <v>19</v>
      </c>
      <c r="D188" s="131">
        <v>3.52824114655365E14</v>
      </c>
      <c r="E188" s="19">
        <v>370.0</v>
      </c>
      <c r="F188" s="20">
        <v>350.0</v>
      </c>
      <c r="G188" s="53" t="s">
        <v>32</v>
      </c>
      <c r="H188" s="54" t="s">
        <v>341</v>
      </c>
      <c r="I188" s="247">
        <v>45820.0</v>
      </c>
      <c r="J188" s="247">
        <v>45912.0</v>
      </c>
      <c r="K188" s="47" t="s">
        <v>330</v>
      </c>
      <c r="L188" s="164"/>
      <c r="M188" s="164"/>
      <c r="N188" s="162"/>
      <c r="O188" s="164"/>
    </row>
    <row r="189">
      <c r="A189" s="15">
        <v>16.0</v>
      </c>
      <c r="B189" s="16" t="s">
        <v>90</v>
      </c>
      <c r="C189" s="376" t="s">
        <v>19</v>
      </c>
      <c r="D189" s="57">
        <v>3.57394517034399E14</v>
      </c>
      <c r="E189" s="377" t="s">
        <v>197</v>
      </c>
      <c r="F189" s="20">
        <v>750.0</v>
      </c>
      <c r="G189" s="21" t="s">
        <v>342</v>
      </c>
      <c r="H189" s="44" t="s">
        <v>343</v>
      </c>
      <c r="I189" s="145">
        <v>45822.0</v>
      </c>
      <c r="J189" s="145">
        <v>45914.0</v>
      </c>
      <c r="K189" s="308" t="s">
        <v>344</v>
      </c>
      <c r="L189" s="164"/>
      <c r="M189" s="164"/>
      <c r="N189" s="162"/>
      <c r="O189" s="164"/>
    </row>
    <row r="190">
      <c r="A190" s="15">
        <v>17.0</v>
      </c>
      <c r="B190" s="16" t="s">
        <v>238</v>
      </c>
      <c r="C190" s="349" t="s">
        <v>19</v>
      </c>
      <c r="D190" s="57">
        <v>3.59330184622296E14</v>
      </c>
      <c r="E190" s="205">
        <v>790.0</v>
      </c>
      <c r="F190" s="42">
        <v>770.0</v>
      </c>
      <c r="G190" s="132" t="s">
        <v>30</v>
      </c>
      <c r="H190" s="54" t="s">
        <v>345</v>
      </c>
      <c r="I190" s="247">
        <v>45822.0</v>
      </c>
      <c r="J190" s="247">
        <v>45914.0</v>
      </c>
      <c r="K190" s="47" t="s">
        <v>346</v>
      </c>
      <c r="L190" s="164"/>
      <c r="M190" s="164"/>
      <c r="N190" s="162"/>
      <c r="O190" s="164"/>
    </row>
    <row r="191">
      <c r="A191" s="26">
        <v>18.0</v>
      </c>
      <c r="B191" s="16" t="s">
        <v>347</v>
      </c>
      <c r="C191" s="172" t="s">
        <v>111</v>
      </c>
      <c r="D191" s="120">
        <v>3.56864565837027E14</v>
      </c>
      <c r="E191" s="19">
        <v>1390.0</v>
      </c>
      <c r="F191" s="377" t="s">
        <v>197</v>
      </c>
      <c r="G191" s="21" t="s">
        <v>348</v>
      </c>
      <c r="H191" s="54" t="s">
        <v>349</v>
      </c>
      <c r="I191" s="174">
        <v>45831.0</v>
      </c>
      <c r="J191" s="174">
        <v>45923.0</v>
      </c>
      <c r="K191" s="47" t="s">
        <v>350</v>
      </c>
      <c r="L191" s="164"/>
      <c r="M191" s="164"/>
      <c r="N191" s="162"/>
      <c r="O191" s="164"/>
    </row>
    <row r="192">
      <c r="A192" s="15">
        <v>19.0</v>
      </c>
      <c r="B192" s="110" t="s">
        <v>351</v>
      </c>
      <c r="C192" s="349" t="s">
        <v>19</v>
      </c>
      <c r="D192" s="18">
        <v>3.50636591882072E14</v>
      </c>
      <c r="E192" s="19">
        <v>890.0</v>
      </c>
      <c r="F192" s="183">
        <v>870.0</v>
      </c>
      <c r="G192" s="112" t="s">
        <v>23</v>
      </c>
      <c r="H192" s="54" t="s">
        <v>352</v>
      </c>
      <c r="I192" s="237">
        <v>45831.0</v>
      </c>
      <c r="J192" s="237">
        <v>45923.0</v>
      </c>
      <c r="K192" s="308" t="s">
        <v>353</v>
      </c>
      <c r="L192" s="164"/>
      <c r="M192" s="164"/>
      <c r="N192" s="162"/>
      <c r="O192" s="164"/>
    </row>
    <row r="193">
      <c r="A193" s="26">
        <v>20.0</v>
      </c>
      <c r="B193" s="16" t="s">
        <v>328</v>
      </c>
      <c r="C193" s="249" t="s">
        <v>111</v>
      </c>
      <c r="D193" s="120">
        <v>3.54331124267122E14</v>
      </c>
      <c r="E193" s="19">
        <v>1390.0</v>
      </c>
      <c r="F193" s="183">
        <v>1350.0</v>
      </c>
      <c r="G193" s="21" t="s">
        <v>348</v>
      </c>
      <c r="H193" s="54" t="s">
        <v>354</v>
      </c>
      <c r="I193" s="247">
        <v>45832.0</v>
      </c>
      <c r="J193" s="247">
        <v>45832.0</v>
      </c>
      <c r="K193" s="47" t="s">
        <v>333</v>
      </c>
      <c r="L193" s="164"/>
      <c r="M193" s="164"/>
      <c r="N193" s="162"/>
      <c r="O193" s="164"/>
    </row>
    <row r="194">
      <c r="A194" s="15">
        <v>21.0</v>
      </c>
      <c r="B194" s="244" t="s">
        <v>253</v>
      </c>
      <c r="C194" s="378" t="s">
        <v>19</v>
      </c>
      <c r="D194" s="252">
        <v>3.59451180090658E14</v>
      </c>
      <c r="E194" s="41">
        <v>570.0</v>
      </c>
      <c r="F194" s="42">
        <v>550.0</v>
      </c>
      <c r="G194" s="132" t="s">
        <v>30</v>
      </c>
      <c r="H194" s="54" t="s">
        <v>355</v>
      </c>
      <c r="I194" s="247">
        <v>45835.0</v>
      </c>
      <c r="J194" s="247">
        <v>45835.0</v>
      </c>
      <c r="K194" s="47" t="s">
        <v>21</v>
      </c>
      <c r="L194" s="164"/>
      <c r="M194" s="164"/>
      <c r="N194" s="162"/>
      <c r="O194" s="164"/>
    </row>
    <row r="195">
      <c r="A195" s="15">
        <v>22.0</v>
      </c>
      <c r="B195" s="16" t="s">
        <v>356</v>
      </c>
      <c r="C195" s="249" t="s">
        <v>111</v>
      </c>
      <c r="D195" s="120">
        <v>3.55823773055534E14</v>
      </c>
      <c r="E195" s="19">
        <v>790.0</v>
      </c>
      <c r="F195" s="20">
        <v>770.0</v>
      </c>
      <c r="G195" s="21" t="s">
        <v>357</v>
      </c>
      <c r="H195" s="54" t="s">
        <v>358</v>
      </c>
      <c r="I195" s="247">
        <v>45835.0</v>
      </c>
      <c r="J195" s="247">
        <v>45835.0</v>
      </c>
      <c r="K195" s="47" t="s">
        <v>330</v>
      </c>
      <c r="L195" s="164"/>
      <c r="M195" s="164"/>
      <c r="N195" s="162"/>
      <c r="O195" s="164"/>
    </row>
    <row r="196">
      <c r="A196" s="336" t="s">
        <v>145</v>
      </c>
      <c r="B196" s="292"/>
      <c r="C196" s="292"/>
      <c r="D196" s="292"/>
      <c r="E196" s="292"/>
      <c r="F196" s="292"/>
      <c r="G196" s="292"/>
      <c r="H196" s="292"/>
      <c r="I196" s="292"/>
      <c r="J196" s="292"/>
      <c r="K196" s="159"/>
      <c r="L196" s="164"/>
      <c r="M196" s="164"/>
      <c r="N196" s="162"/>
      <c r="O196" s="164"/>
    </row>
    <row r="197">
      <c r="A197" s="15">
        <v>1.0</v>
      </c>
      <c r="B197" s="16" t="s">
        <v>219</v>
      </c>
      <c r="C197" s="227" t="s">
        <v>19</v>
      </c>
      <c r="D197" s="379">
        <v>3.5374233273468E14</v>
      </c>
      <c r="E197" s="41">
        <v>700.0</v>
      </c>
      <c r="F197" s="218">
        <v>690.0</v>
      </c>
      <c r="G197" s="132" t="s">
        <v>32</v>
      </c>
      <c r="H197" s="380" t="s">
        <v>359</v>
      </c>
      <c r="I197" s="145">
        <v>45839.0</v>
      </c>
      <c r="J197" s="145">
        <v>45931.0</v>
      </c>
      <c r="K197" s="47" t="s">
        <v>360</v>
      </c>
      <c r="L197" s="164"/>
      <c r="M197" s="164"/>
      <c r="N197" s="162"/>
      <c r="O197" s="164"/>
    </row>
    <row r="198">
      <c r="A198" s="15">
        <v>2.0</v>
      </c>
      <c r="B198" s="51" t="s">
        <v>361</v>
      </c>
      <c r="C198" s="39" t="s">
        <v>19</v>
      </c>
      <c r="D198" s="381">
        <v>3.5303911645151E14</v>
      </c>
      <c r="E198" s="19">
        <v>470.0</v>
      </c>
      <c r="F198" s="183">
        <v>450.0</v>
      </c>
      <c r="G198" s="382" t="s">
        <v>65</v>
      </c>
      <c r="H198" s="54" t="s">
        <v>362</v>
      </c>
      <c r="I198" s="247">
        <v>45839.0</v>
      </c>
      <c r="J198" s="247">
        <v>45931.0</v>
      </c>
      <c r="K198" s="47" t="s">
        <v>363</v>
      </c>
      <c r="L198" s="164"/>
      <c r="M198" s="164"/>
      <c r="N198" s="162"/>
      <c r="O198" s="164"/>
    </row>
    <row r="199">
      <c r="A199" s="26">
        <v>3.0</v>
      </c>
      <c r="B199" s="16" t="s">
        <v>200</v>
      </c>
      <c r="C199" s="249" t="s">
        <v>111</v>
      </c>
      <c r="D199" s="120">
        <v>3.5684545416524E14</v>
      </c>
      <c r="E199" s="19">
        <v>690.0</v>
      </c>
      <c r="F199" s="183">
        <v>670.0</v>
      </c>
      <c r="G199" s="21" t="s">
        <v>364</v>
      </c>
      <c r="H199" s="57" t="s">
        <v>365</v>
      </c>
      <c r="I199" s="247">
        <v>45843.0</v>
      </c>
      <c r="J199" s="247">
        <v>45935.0</v>
      </c>
      <c r="K199" s="24" t="s">
        <v>366</v>
      </c>
      <c r="L199" s="164"/>
      <c r="M199" s="164"/>
      <c r="N199" s="162"/>
      <c r="O199" s="164"/>
    </row>
    <row r="200">
      <c r="A200" s="26">
        <v>4.0</v>
      </c>
      <c r="B200" s="274" t="s">
        <v>253</v>
      </c>
      <c r="C200" s="28" t="s">
        <v>19</v>
      </c>
      <c r="D200" s="275">
        <v>3.58091653314283E14</v>
      </c>
      <c r="E200" s="383">
        <v>570.0</v>
      </c>
      <c r="F200" s="384">
        <v>560.0</v>
      </c>
      <c r="G200" s="277" t="s">
        <v>30</v>
      </c>
      <c r="H200" s="385" t="s">
        <v>367</v>
      </c>
      <c r="I200" s="247">
        <v>45843.0</v>
      </c>
      <c r="J200" s="247">
        <v>45935.0</v>
      </c>
      <c r="K200" s="386" t="s">
        <v>368</v>
      </c>
      <c r="L200" s="164"/>
      <c r="M200" s="164"/>
      <c r="N200" s="162"/>
      <c r="O200" s="164"/>
    </row>
    <row r="201">
      <c r="A201" s="15">
        <v>5.0</v>
      </c>
      <c r="B201" s="51" t="s">
        <v>369</v>
      </c>
      <c r="C201" s="39" t="s">
        <v>19</v>
      </c>
      <c r="D201" s="131">
        <v>3.5362930152746E14</v>
      </c>
      <c r="E201" s="304" t="s">
        <v>197</v>
      </c>
      <c r="F201" s="42">
        <v>990.0</v>
      </c>
      <c r="G201" s="132" t="s">
        <v>141</v>
      </c>
      <c r="H201" s="44" t="s">
        <v>370</v>
      </c>
      <c r="I201" s="237">
        <v>45846.0</v>
      </c>
      <c r="J201" s="237">
        <v>45938.0</v>
      </c>
      <c r="K201" s="47" t="s">
        <v>371</v>
      </c>
      <c r="L201" s="164"/>
      <c r="M201" s="164"/>
      <c r="N201" s="162"/>
      <c r="O201" s="164"/>
    </row>
    <row r="202">
      <c r="A202" s="15">
        <v>6.0</v>
      </c>
      <c r="B202" s="90" t="s">
        <v>372</v>
      </c>
      <c r="C202" s="368" t="s">
        <v>111</v>
      </c>
      <c r="D202" s="79">
        <v>3.57463447588004E14</v>
      </c>
      <c r="E202" s="19">
        <v>1190.0</v>
      </c>
      <c r="F202" s="183">
        <v>1150.0</v>
      </c>
      <c r="G202" s="21">
        <v>128.0</v>
      </c>
      <c r="H202" s="54" t="s">
        <v>373</v>
      </c>
      <c r="I202" s="247">
        <v>45849.0</v>
      </c>
      <c r="J202" s="247">
        <v>45941.0</v>
      </c>
      <c r="K202" s="24" t="s">
        <v>366</v>
      </c>
      <c r="L202" s="164"/>
      <c r="M202" s="164"/>
      <c r="N202" s="162"/>
      <c r="O202" s="164"/>
    </row>
    <row r="203">
      <c r="A203" s="26">
        <v>7.0</v>
      </c>
      <c r="B203" s="90" t="s">
        <v>374</v>
      </c>
      <c r="C203" s="387" t="s">
        <v>111</v>
      </c>
      <c r="D203" s="79">
        <v>3.50493571751E14</v>
      </c>
      <c r="E203" s="19">
        <v>1000.0</v>
      </c>
      <c r="F203" s="183">
        <v>990.0</v>
      </c>
      <c r="G203" s="21">
        <v>128.0</v>
      </c>
      <c r="H203" s="54" t="s">
        <v>375</v>
      </c>
      <c r="I203" s="247">
        <v>45849.0</v>
      </c>
      <c r="J203" s="247">
        <v>45941.0</v>
      </c>
      <c r="K203" s="24" t="s">
        <v>366</v>
      </c>
      <c r="L203" s="164"/>
      <c r="M203" s="164"/>
      <c r="N203" s="162"/>
      <c r="O203" s="164"/>
    </row>
    <row r="204">
      <c r="A204" s="26">
        <v>8.0</v>
      </c>
      <c r="B204" s="244" t="s">
        <v>81</v>
      </c>
      <c r="C204" s="68" t="s">
        <v>19</v>
      </c>
      <c r="D204" s="57">
        <v>3.54080342005232E14</v>
      </c>
      <c r="E204" s="19">
        <v>690.0</v>
      </c>
      <c r="F204" s="20">
        <v>680.0</v>
      </c>
      <c r="G204" s="21" t="s">
        <v>376</v>
      </c>
      <c r="H204" s="54" t="s">
        <v>377</v>
      </c>
      <c r="I204" s="247">
        <v>45854.0</v>
      </c>
      <c r="J204" s="247">
        <v>45946.0</v>
      </c>
      <c r="K204" s="24" t="s">
        <v>366</v>
      </c>
      <c r="L204" s="164"/>
      <c r="M204" s="164"/>
      <c r="N204" s="162"/>
      <c r="O204" s="164"/>
    </row>
    <row r="205">
      <c r="A205" s="15">
        <v>9.0</v>
      </c>
      <c r="B205" s="16" t="s">
        <v>107</v>
      </c>
      <c r="C205" s="345" t="s">
        <v>19</v>
      </c>
      <c r="D205" s="57">
        <v>3.53584659308528E14</v>
      </c>
      <c r="E205" s="19">
        <v>890.0</v>
      </c>
      <c r="F205" s="20">
        <v>860.0</v>
      </c>
      <c r="G205" s="21" t="s">
        <v>86</v>
      </c>
      <c r="H205" s="54" t="s">
        <v>377</v>
      </c>
      <c r="I205" s="247">
        <v>45854.0</v>
      </c>
      <c r="J205" s="247">
        <v>45946.0</v>
      </c>
      <c r="K205" s="24" t="s">
        <v>378</v>
      </c>
      <c r="L205" s="164"/>
      <c r="M205" s="164"/>
      <c r="N205" s="162"/>
      <c r="O205" s="164"/>
    </row>
    <row r="206">
      <c r="A206" s="15">
        <v>10.0</v>
      </c>
      <c r="B206" s="51" t="s">
        <v>379</v>
      </c>
      <c r="C206" s="388" t="s">
        <v>19</v>
      </c>
      <c r="D206" s="131">
        <v>3.56545106647211E14</v>
      </c>
      <c r="E206" s="19">
        <v>370.0</v>
      </c>
      <c r="F206" s="142">
        <v>350.0</v>
      </c>
      <c r="G206" s="123" t="s">
        <v>30</v>
      </c>
      <c r="H206" s="44" t="s">
        <v>380</v>
      </c>
      <c r="I206" s="145">
        <v>45854.0</v>
      </c>
      <c r="J206" s="247">
        <v>45946.0</v>
      </c>
      <c r="K206" s="47" t="s">
        <v>360</v>
      </c>
      <c r="L206" s="164"/>
      <c r="M206" s="164"/>
      <c r="N206" s="162"/>
      <c r="O206" s="164"/>
    </row>
    <row r="207">
      <c r="A207" s="26">
        <v>11.0</v>
      </c>
      <c r="B207" s="51" t="s">
        <v>100</v>
      </c>
      <c r="C207" s="134" t="s">
        <v>19</v>
      </c>
      <c r="D207" s="131">
        <v>3.56649154961985E14</v>
      </c>
      <c r="E207" s="19">
        <v>690.0</v>
      </c>
      <c r="F207" s="183">
        <v>670.0</v>
      </c>
      <c r="G207" s="132" t="s">
        <v>381</v>
      </c>
      <c r="H207" s="54" t="s">
        <v>382</v>
      </c>
      <c r="I207" s="247">
        <v>45854.0</v>
      </c>
      <c r="J207" s="247">
        <v>45946.0</v>
      </c>
      <c r="K207" s="47" t="s">
        <v>383</v>
      </c>
      <c r="L207" s="164"/>
      <c r="M207" s="164"/>
      <c r="N207" s="162"/>
      <c r="O207" s="164"/>
    </row>
    <row r="208">
      <c r="A208" s="26">
        <v>12.0</v>
      </c>
      <c r="B208" s="90" t="s">
        <v>61</v>
      </c>
      <c r="C208" s="389" t="s">
        <v>111</v>
      </c>
      <c r="D208" s="79">
        <v>3.51660782898577E14</v>
      </c>
      <c r="E208" s="19">
        <v>690.0</v>
      </c>
      <c r="F208" s="183">
        <v>680.0</v>
      </c>
      <c r="G208" s="21">
        <v>128.0</v>
      </c>
      <c r="H208" s="54" t="s">
        <v>384</v>
      </c>
      <c r="I208" s="247">
        <v>45856.0</v>
      </c>
      <c r="J208" s="247">
        <v>45948.0</v>
      </c>
      <c r="K208" s="47" t="s">
        <v>385</v>
      </c>
      <c r="L208" s="164"/>
      <c r="M208" s="164"/>
      <c r="N208" s="162"/>
      <c r="O208" s="164"/>
    </row>
    <row r="209">
      <c r="A209" s="15">
        <v>13.0</v>
      </c>
      <c r="B209" s="390" t="s">
        <v>386</v>
      </c>
      <c r="C209" s="248" t="s">
        <v>111</v>
      </c>
      <c r="D209" s="92">
        <v>3.51895496831619E14</v>
      </c>
      <c r="E209" s="142">
        <v>1300.0</v>
      </c>
      <c r="F209" s="20">
        <v>1260.0</v>
      </c>
      <c r="G209" s="21">
        <v>256.0</v>
      </c>
      <c r="H209" s="391" t="s">
        <v>387</v>
      </c>
      <c r="I209" s="247">
        <v>45856.0</v>
      </c>
      <c r="J209" s="247">
        <v>45948.0</v>
      </c>
      <c r="K209" s="47" t="s">
        <v>186</v>
      </c>
      <c r="L209" s="164"/>
      <c r="M209" s="164"/>
      <c r="N209" s="162"/>
      <c r="O209" s="164"/>
    </row>
    <row r="210">
      <c r="A210" s="15">
        <v>14.0</v>
      </c>
      <c r="B210" s="90" t="s">
        <v>386</v>
      </c>
      <c r="C210" s="248" t="s">
        <v>111</v>
      </c>
      <c r="D210" s="79">
        <v>3.51670272332219E14</v>
      </c>
      <c r="E210" s="19">
        <v>1300.0</v>
      </c>
      <c r="F210" s="183">
        <v>1260.0</v>
      </c>
      <c r="G210" s="21">
        <v>256.0</v>
      </c>
      <c r="H210" s="54" t="s">
        <v>388</v>
      </c>
      <c r="I210" s="247">
        <v>45857.0</v>
      </c>
      <c r="J210" s="247">
        <v>45949.0</v>
      </c>
      <c r="K210" s="47" t="s">
        <v>385</v>
      </c>
      <c r="L210" s="164"/>
      <c r="M210" s="164"/>
      <c r="N210" s="162"/>
      <c r="O210" s="164"/>
    </row>
    <row r="211">
      <c r="A211" s="26">
        <v>15.0</v>
      </c>
      <c r="B211" s="51" t="s">
        <v>389</v>
      </c>
      <c r="C211" s="392" t="s">
        <v>19</v>
      </c>
      <c r="D211" s="163">
        <v>3.56806117142794E14</v>
      </c>
      <c r="E211" s="183">
        <v>310.0</v>
      </c>
      <c r="F211" s="20">
        <v>290.0</v>
      </c>
      <c r="G211" s="123" t="s">
        <v>43</v>
      </c>
      <c r="H211" s="54" t="s">
        <v>390</v>
      </c>
      <c r="I211" s="247">
        <v>45861.0</v>
      </c>
      <c r="J211" s="247">
        <v>45953.0</v>
      </c>
      <c r="K211" s="24" t="s">
        <v>366</v>
      </c>
      <c r="L211" s="164"/>
      <c r="M211" s="164"/>
      <c r="N211" s="162"/>
      <c r="O211" s="164"/>
    </row>
    <row r="212">
      <c r="A212" s="26">
        <v>16.0</v>
      </c>
      <c r="B212" s="16" t="s">
        <v>374</v>
      </c>
      <c r="C212" s="393" t="s">
        <v>111</v>
      </c>
      <c r="D212" s="57">
        <v>3.51614501666575E14</v>
      </c>
      <c r="E212" s="304" t="s">
        <v>197</v>
      </c>
      <c r="F212" s="20">
        <v>1000.0</v>
      </c>
      <c r="G212" s="21">
        <v>128.0</v>
      </c>
      <c r="H212" s="54" t="s">
        <v>391</v>
      </c>
      <c r="I212" s="174">
        <v>45864.0</v>
      </c>
      <c r="J212" s="174">
        <v>45956.0</v>
      </c>
      <c r="K212" s="24" t="s">
        <v>392</v>
      </c>
      <c r="L212" s="238"/>
      <c r="M212" s="238"/>
      <c r="N212" s="238"/>
      <c r="O212" s="238"/>
    </row>
    <row r="213">
      <c r="A213" s="15">
        <v>17.0</v>
      </c>
      <c r="B213" s="244" t="s">
        <v>61</v>
      </c>
      <c r="C213" s="93" t="s">
        <v>19</v>
      </c>
      <c r="D213" s="131">
        <v>3.5827195819183E14</v>
      </c>
      <c r="E213" s="19">
        <v>580.0</v>
      </c>
      <c r="F213" s="20">
        <v>560.0</v>
      </c>
      <c r="G213" s="132" t="s">
        <v>393</v>
      </c>
      <c r="H213" s="54" t="s">
        <v>394</v>
      </c>
      <c r="I213" s="247">
        <v>45868.0</v>
      </c>
      <c r="J213" s="247">
        <v>45960.0</v>
      </c>
      <c r="K213" s="24" t="s">
        <v>366</v>
      </c>
      <c r="L213" s="238"/>
      <c r="M213" s="238"/>
      <c r="N213" s="238"/>
      <c r="O213" s="238"/>
    </row>
    <row r="214">
      <c r="A214" s="26">
        <v>18.0</v>
      </c>
      <c r="B214" s="16" t="s">
        <v>200</v>
      </c>
      <c r="C214" s="248" t="s">
        <v>111</v>
      </c>
      <c r="D214" s="57">
        <v>3.51660782979203E14</v>
      </c>
      <c r="E214" s="19">
        <v>700.0</v>
      </c>
      <c r="F214" s="183">
        <v>680.0</v>
      </c>
      <c r="G214" s="21">
        <v>128.0</v>
      </c>
      <c r="H214" s="54" t="s">
        <v>395</v>
      </c>
      <c r="I214" s="174">
        <v>45868.0</v>
      </c>
      <c r="J214" s="174">
        <v>45960.0</v>
      </c>
      <c r="K214" s="47" t="s">
        <v>385</v>
      </c>
      <c r="L214" s="238"/>
      <c r="M214" s="238"/>
      <c r="N214" s="238"/>
      <c r="O214" s="238"/>
    </row>
    <row r="215">
      <c r="A215" s="15">
        <v>19.0</v>
      </c>
      <c r="B215" s="16" t="s">
        <v>204</v>
      </c>
      <c r="C215" s="349" t="s">
        <v>19</v>
      </c>
      <c r="D215" s="57">
        <v>3.58823341097544E14</v>
      </c>
      <c r="E215" s="19">
        <v>690.0</v>
      </c>
      <c r="F215" s="142">
        <v>670.0</v>
      </c>
      <c r="G215" s="21" t="s">
        <v>30</v>
      </c>
      <c r="H215" s="44" t="s">
        <v>396</v>
      </c>
      <c r="I215" s="237">
        <v>45869.0</v>
      </c>
      <c r="J215" s="174">
        <v>45961.0</v>
      </c>
      <c r="K215" s="47" t="s">
        <v>360</v>
      </c>
      <c r="L215" s="238"/>
      <c r="M215" s="238"/>
      <c r="N215" s="238"/>
      <c r="O215" s="238"/>
    </row>
    <row r="216">
      <c r="A216" s="336" t="s">
        <v>149</v>
      </c>
      <c r="B216" s="292"/>
      <c r="C216" s="292"/>
      <c r="D216" s="292"/>
      <c r="E216" s="292"/>
      <c r="F216" s="292"/>
      <c r="G216" s="292"/>
      <c r="H216" s="292"/>
      <c r="I216" s="292"/>
      <c r="J216" s="292"/>
      <c r="K216" s="159"/>
      <c r="L216" s="238"/>
      <c r="M216" s="238"/>
      <c r="N216" s="238"/>
      <c r="O216" s="238"/>
    </row>
    <row r="217">
      <c r="A217" s="15">
        <v>1.0</v>
      </c>
      <c r="B217" s="51" t="s">
        <v>397</v>
      </c>
      <c r="C217" s="91" t="s">
        <v>19</v>
      </c>
      <c r="D217" s="163">
        <v>3.58710091593246E14</v>
      </c>
      <c r="E217" s="372">
        <v>100.0</v>
      </c>
      <c r="F217" s="373">
        <v>90.0</v>
      </c>
      <c r="G217" s="123" t="s">
        <v>398</v>
      </c>
      <c r="H217" s="380" t="s">
        <v>399</v>
      </c>
      <c r="I217" s="174">
        <v>45871.0</v>
      </c>
      <c r="J217" s="174">
        <v>45963.0</v>
      </c>
      <c r="K217" s="24" t="s">
        <v>135</v>
      </c>
      <c r="L217" s="238"/>
      <c r="M217" s="238"/>
      <c r="N217" s="238"/>
      <c r="O217" s="238"/>
    </row>
    <row r="218">
      <c r="A218" s="15">
        <v>2.0</v>
      </c>
      <c r="B218" s="16" t="s">
        <v>204</v>
      </c>
      <c r="C218" s="349" t="s">
        <v>19</v>
      </c>
      <c r="D218" s="394">
        <v>3.54509717318861E14</v>
      </c>
      <c r="E218" s="183">
        <v>690.0</v>
      </c>
      <c r="F218" s="20">
        <v>670.0</v>
      </c>
      <c r="G218" s="132" t="s">
        <v>160</v>
      </c>
      <c r="H218" s="54" t="s">
        <v>400</v>
      </c>
      <c r="I218" s="247">
        <v>45871.0</v>
      </c>
      <c r="J218" s="247">
        <v>45963.0</v>
      </c>
      <c r="K218" s="24" t="s">
        <v>401</v>
      </c>
      <c r="L218" s="238"/>
      <c r="M218" s="238"/>
      <c r="N218" s="238"/>
      <c r="O218" s="238"/>
    </row>
    <row r="219">
      <c r="A219" s="26">
        <v>3.0</v>
      </c>
      <c r="B219" s="16" t="s">
        <v>402</v>
      </c>
      <c r="C219" s="344" t="s">
        <v>111</v>
      </c>
      <c r="D219" s="57">
        <v>3.52730770793798E14</v>
      </c>
      <c r="E219" s="183">
        <v>1020.0</v>
      </c>
      <c r="F219" s="20">
        <v>1000.0</v>
      </c>
      <c r="G219" s="21">
        <v>128.0</v>
      </c>
      <c r="H219" s="57" t="s">
        <v>403</v>
      </c>
      <c r="I219" s="247">
        <v>45874.0</v>
      </c>
      <c r="J219" s="247">
        <v>45966.0</v>
      </c>
      <c r="K219" s="24" t="s">
        <v>404</v>
      </c>
      <c r="L219" s="238"/>
      <c r="M219" s="238"/>
      <c r="N219" s="238"/>
      <c r="O219" s="238"/>
    </row>
    <row r="220">
      <c r="A220" s="15">
        <v>4.0</v>
      </c>
      <c r="B220" s="16" t="s">
        <v>200</v>
      </c>
      <c r="C220" s="248" t="s">
        <v>111</v>
      </c>
      <c r="D220" s="57">
        <v>3.51660789011703E14</v>
      </c>
      <c r="E220" s="183">
        <v>700.0</v>
      </c>
      <c r="F220" s="20">
        <v>680.0</v>
      </c>
      <c r="G220" s="132">
        <v>128.0</v>
      </c>
      <c r="H220" s="195" t="s">
        <v>405</v>
      </c>
      <c r="I220" s="247">
        <v>45875.0</v>
      </c>
      <c r="J220" s="247">
        <v>45967.0</v>
      </c>
      <c r="K220" s="24" t="s">
        <v>406</v>
      </c>
      <c r="L220" s="238"/>
      <c r="M220" s="238"/>
      <c r="N220" s="238"/>
      <c r="O220" s="238"/>
    </row>
    <row r="221">
      <c r="A221" s="15">
        <v>5.0</v>
      </c>
      <c r="B221" s="390" t="s">
        <v>407</v>
      </c>
      <c r="C221" s="239" t="s">
        <v>111</v>
      </c>
      <c r="D221" s="395">
        <v>3.57463447610329E14</v>
      </c>
      <c r="E221" s="218">
        <v>1300.0</v>
      </c>
      <c r="F221" s="42">
        <v>1230.0</v>
      </c>
      <c r="G221" s="395">
        <v>256.0</v>
      </c>
      <c r="H221" s="92" t="s">
        <v>408</v>
      </c>
      <c r="I221" s="396" t="s">
        <v>409</v>
      </c>
      <c r="J221" s="397">
        <v>45967.0</v>
      </c>
      <c r="K221" s="47" t="s">
        <v>410</v>
      </c>
      <c r="L221" s="238"/>
      <c r="M221" s="238"/>
      <c r="N221" s="238"/>
      <c r="O221" s="238"/>
    </row>
    <row r="222">
      <c r="A222" s="26">
        <v>6.0</v>
      </c>
      <c r="B222" s="16" t="s">
        <v>411</v>
      </c>
      <c r="C222" s="344" t="s">
        <v>19</v>
      </c>
      <c r="D222" s="57">
        <v>3.50496309652028E14</v>
      </c>
      <c r="E222" s="183">
        <v>1070.0</v>
      </c>
      <c r="F222" s="20">
        <v>1050.0</v>
      </c>
      <c r="G222" s="21" t="s">
        <v>55</v>
      </c>
      <c r="H222" s="54" t="s">
        <v>412</v>
      </c>
      <c r="I222" s="247">
        <v>45877.0</v>
      </c>
      <c r="J222" s="247">
        <v>45969.0</v>
      </c>
      <c r="K222" s="24" t="s">
        <v>406</v>
      </c>
      <c r="L222" s="238"/>
      <c r="M222" s="238"/>
      <c r="N222" s="238"/>
      <c r="O222" s="238"/>
    </row>
    <row r="223">
      <c r="A223" s="15">
        <v>7.0</v>
      </c>
      <c r="B223" s="16" t="s">
        <v>217</v>
      </c>
      <c r="C223" s="347" t="s">
        <v>19</v>
      </c>
      <c r="D223" s="57">
        <v>3.59984989720851E14</v>
      </c>
      <c r="E223" s="142">
        <v>680.0</v>
      </c>
      <c r="F223" s="20">
        <v>650.0</v>
      </c>
      <c r="G223" s="21" t="s">
        <v>413</v>
      </c>
      <c r="H223" s="44" t="s">
        <v>414</v>
      </c>
      <c r="I223" s="237">
        <v>45881.0</v>
      </c>
      <c r="J223" s="236">
        <v>45973.0</v>
      </c>
      <c r="K223" s="47" t="s">
        <v>186</v>
      </c>
      <c r="L223" s="238"/>
      <c r="M223" s="238"/>
      <c r="N223" s="238"/>
      <c r="O223" s="238"/>
    </row>
    <row r="224">
      <c r="A224" s="15">
        <v>8.0</v>
      </c>
      <c r="B224" s="244" t="s">
        <v>238</v>
      </c>
      <c r="C224" s="398" t="s">
        <v>19</v>
      </c>
      <c r="D224" s="394">
        <v>3.58538323442506E14</v>
      </c>
      <c r="E224" s="41">
        <v>790.0</v>
      </c>
      <c r="F224" s="205">
        <v>770.0</v>
      </c>
      <c r="G224" s="132" t="s">
        <v>23</v>
      </c>
      <c r="H224" s="54" t="s">
        <v>415</v>
      </c>
      <c r="I224" s="247">
        <v>45884.0</v>
      </c>
      <c r="J224" s="247">
        <v>45884.0</v>
      </c>
      <c r="K224" s="24" t="s">
        <v>135</v>
      </c>
      <c r="L224" s="238"/>
      <c r="M224" s="238"/>
      <c r="N224" s="238"/>
      <c r="O224" s="238"/>
    </row>
    <row r="225">
      <c r="A225" s="26">
        <v>9.0</v>
      </c>
      <c r="B225" s="16" t="s">
        <v>234</v>
      </c>
      <c r="C225" s="68" t="s">
        <v>111</v>
      </c>
      <c r="D225" s="57">
        <v>3.53523526597319E14</v>
      </c>
      <c r="E225" s="19">
        <v>700.0</v>
      </c>
      <c r="F225" s="142">
        <v>680.0</v>
      </c>
      <c r="G225" s="21">
        <v>128.0</v>
      </c>
      <c r="H225" s="54" t="s">
        <v>416</v>
      </c>
      <c r="I225" s="399">
        <v>45884.0</v>
      </c>
      <c r="J225" s="211">
        <v>45976.0</v>
      </c>
      <c r="K225" s="47" t="s">
        <v>417</v>
      </c>
      <c r="L225" s="238"/>
      <c r="M225" s="238"/>
      <c r="N225" s="238"/>
      <c r="O225" s="238"/>
    </row>
    <row r="226">
      <c r="A226" s="15">
        <v>10.0</v>
      </c>
      <c r="B226" s="244" t="s">
        <v>204</v>
      </c>
      <c r="C226" s="398" t="s">
        <v>19</v>
      </c>
      <c r="D226" s="248">
        <v>3.55656507823979E14</v>
      </c>
      <c r="E226" s="205">
        <v>690.0</v>
      </c>
      <c r="F226" s="42">
        <v>650.0</v>
      </c>
      <c r="G226" s="132" t="s">
        <v>30</v>
      </c>
      <c r="H226" s="54" t="s">
        <v>418</v>
      </c>
      <c r="I226" s="174">
        <v>45884.0</v>
      </c>
      <c r="J226" s="247">
        <v>45884.0</v>
      </c>
      <c r="K226" s="24" t="s">
        <v>135</v>
      </c>
      <c r="L226" s="238"/>
      <c r="M226" s="238"/>
      <c r="N226" s="238"/>
      <c r="O226" s="238"/>
    </row>
    <row r="227">
      <c r="A227" s="15">
        <v>11.0</v>
      </c>
      <c r="B227" s="390" t="s">
        <v>419</v>
      </c>
      <c r="C227" s="400" t="s">
        <v>111</v>
      </c>
      <c r="D227" s="395">
        <v>3.56541625755841E14</v>
      </c>
      <c r="E227" s="41">
        <v>1400.0</v>
      </c>
      <c r="F227" s="218">
        <v>1360.0</v>
      </c>
      <c r="G227" s="395">
        <v>256.0</v>
      </c>
      <c r="H227" s="92" t="s">
        <v>420</v>
      </c>
      <c r="I227" s="401">
        <v>45888.0</v>
      </c>
      <c r="J227" s="401">
        <v>45980.0</v>
      </c>
      <c r="K227" s="47" t="s">
        <v>421</v>
      </c>
      <c r="L227" s="238"/>
      <c r="M227" s="238"/>
      <c r="N227" s="238"/>
      <c r="O227" s="238"/>
    </row>
    <row r="228">
      <c r="A228" s="26">
        <v>12.0</v>
      </c>
      <c r="B228" s="390" t="s">
        <v>386</v>
      </c>
      <c r="C228" s="402" t="s">
        <v>111</v>
      </c>
      <c r="D228" s="395">
        <v>3.58282724134517E14</v>
      </c>
      <c r="E228" s="41">
        <v>1300.0</v>
      </c>
      <c r="F228" s="218">
        <v>1260.0</v>
      </c>
      <c r="G228" s="395">
        <v>256.0</v>
      </c>
      <c r="H228" s="92" t="s">
        <v>422</v>
      </c>
      <c r="I228" s="401">
        <v>45888.0</v>
      </c>
      <c r="J228" s="401">
        <v>45980.0</v>
      </c>
      <c r="K228" s="47" t="s">
        <v>423</v>
      </c>
      <c r="L228" s="238"/>
      <c r="M228" s="238"/>
      <c r="N228" s="238"/>
      <c r="O228" s="238"/>
    </row>
    <row r="229">
      <c r="A229" s="15">
        <v>13.0</v>
      </c>
      <c r="B229" s="90" t="s">
        <v>372</v>
      </c>
      <c r="C229" s="400" t="s">
        <v>111</v>
      </c>
      <c r="D229" s="91">
        <v>3.57017254288486E14</v>
      </c>
      <c r="E229" s="205">
        <v>1200.0</v>
      </c>
      <c r="F229" s="42">
        <v>1180.0</v>
      </c>
      <c r="G229" s="91">
        <v>128.0</v>
      </c>
      <c r="H229" s="403" t="s">
        <v>424</v>
      </c>
      <c r="I229" s="247">
        <v>45892.0</v>
      </c>
      <c r="J229" s="247">
        <v>45984.0</v>
      </c>
      <c r="K229" s="24" t="s">
        <v>425</v>
      </c>
      <c r="L229" s="238"/>
      <c r="M229" s="238"/>
      <c r="N229" s="238"/>
      <c r="O229" s="238"/>
    </row>
    <row r="230">
      <c r="A230" s="26">
        <v>14.0</v>
      </c>
      <c r="B230" s="90" t="s">
        <v>426</v>
      </c>
      <c r="C230" s="239" t="s">
        <v>111</v>
      </c>
      <c r="D230" s="91">
        <v>3.56720514817017E14</v>
      </c>
      <c r="E230" s="205">
        <v>1020.0</v>
      </c>
      <c r="F230" s="42">
        <v>1000.0</v>
      </c>
      <c r="G230" s="91">
        <v>128.0</v>
      </c>
      <c r="H230" s="54" t="s">
        <v>427</v>
      </c>
      <c r="I230" s="247">
        <v>45892.0</v>
      </c>
      <c r="J230" s="247">
        <v>45984.0</v>
      </c>
      <c r="K230" s="24" t="s">
        <v>428</v>
      </c>
      <c r="L230" s="238"/>
      <c r="M230" s="238"/>
      <c r="N230" s="238"/>
      <c r="O230" s="238"/>
    </row>
    <row r="231">
      <c r="A231" s="404" t="s">
        <v>153</v>
      </c>
      <c r="B231" s="11"/>
      <c r="C231" s="11"/>
      <c r="D231" s="11"/>
      <c r="E231" s="11"/>
      <c r="F231" s="11"/>
      <c r="G231" s="11"/>
      <c r="H231" s="11"/>
      <c r="I231" s="11"/>
      <c r="J231" s="11"/>
      <c r="K231" s="12"/>
      <c r="L231" s="238"/>
      <c r="M231" s="238"/>
      <c r="N231" s="238"/>
      <c r="O231" s="238"/>
    </row>
    <row r="232">
      <c r="A232" s="15">
        <v>1.0</v>
      </c>
      <c r="B232" s="405" t="s">
        <v>62</v>
      </c>
      <c r="C232" s="406" t="s">
        <v>19</v>
      </c>
      <c r="D232" s="109">
        <v>3.52408238741762E14</v>
      </c>
      <c r="E232" s="407">
        <v>570.0</v>
      </c>
      <c r="F232" s="408">
        <v>550.0</v>
      </c>
      <c r="G232" s="70" t="s">
        <v>30</v>
      </c>
      <c r="H232" s="380" t="s">
        <v>429</v>
      </c>
      <c r="I232" s="174">
        <v>45906.0</v>
      </c>
      <c r="J232" s="174">
        <v>45997.0</v>
      </c>
      <c r="K232" s="47" t="s">
        <v>330</v>
      </c>
      <c r="L232" s="238"/>
      <c r="M232" s="238"/>
      <c r="N232" s="238"/>
      <c r="O232" s="238"/>
    </row>
    <row r="233">
      <c r="A233" s="15">
        <v>2.0</v>
      </c>
      <c r="B233" s="86" t="s">
        <v>107</v>
      </c>
      <c r="C233" s="409" t="s">
        <v>19</v>
      </c>
      <c r="D233" s="60" t="s">
        <v>430</v>
      </c>
      <c r="E233" s="142">
        <f t="shared" ref="E233:E238" si="6">F233+20</f>
        <v>760</v>
      </c>
      <c r="F233" s="20">
        <v>740.0</v>
      </c>
      <c r="G233" s="410" t="s">
        <v>431</v>
      </c>
      <c r="H233" s="54" t="s">
        <v>432</v>
      </c>
      <c r="I233" s="237">
        <v>45911.0</v>
      </c>
      <c r="J233" s="236">
        <v>46002.0</v>
      </c>
      <c r="K233" s="24" t="s">
        <v>433</v>
      </c>
      <c r="L233" s="238"/>
      <c r="M233" s="238"/>
      <c r="N233" s="238"/>
      <c r="O233" s="238"/>
    </row>
    <row r="234">
      <c r="A234" s="26">
        <v>3.0</v>
      </c>
      <c r="B234" s="16" t="s">
        <v>61</v>
      </c>
      <c r="C234" s="68" t="s">
        <v>19</v>
      </c>
      <c r="D234" s="57">
        <v>3.56122179111069E14</v>
      </c>
      <c r="E234" s="183">
        <f t="shared" si="6"/>
        <v>540</v>
      </c>
      <c r="F234" s="183">
        <v>520.0</v>
      </c>
      <c r="G234" s="21" t="s">
        <v>23</v>
      </c>
      <c r="H234" s="57" t="s">
        <v>338</v>
      </c>
      <c r="I234" s="247">
        <v>45923.0</v>
      </c>
      <c r="J234" s="247">
        <v>46014.0</v>
      </c>
      <c r="K234" s="47" t="s">
        <v>434</v>
      </c>
      <c r="L234" s="238"/>
      <c r="M234" s="238"/>
      <c r="N234" s="238"/>
      <c r="O234" s="238"/>
    </row>
    <row r="235">
      <c r="A235" s="15">
        <v>4.0</v>
      </c>
      <c r="B235" s="390" t="s">
        <v>356</v>
      </c>
      <c r="C235" s="411" t="s">
        <v>111</v>
      </c>
      <c r="D235" s="395">
        <v>3.57973430983939E14</v>
      </c>
      <c r="E235" s="19">
        <f t="shared" si="6"/>
        <v>770</v>
      </c>
      <c r="F235" s="183">
        <v>750.0</v>
      </c>
      <c r="G235" s="395">
        <v>128.0</v>
      </c>
      <c r="H235" s="195" t="s">
        <v>435</v>
      </c>
      <c r="I235" s="247">
        <v>45926.0</v>
      </c>
      <c r="J235" s="247">
        <v>41178.0</v>
      </c>
      <c r="K235" s="47" t="s">
        <v>186</v>
      </c>
      <c r="L235" s="238"/>
      <c r="M235" s="238"/>
      <c r="N235" s="238"/>
      <c r="O235" s="238"/>
    </row>
    <row r="236">
      <c r="A236" s="15">
        <v>5.0</v>
      </c>
      <c r="B236" s="390" t="s">
        <v>320</v>
      </c>
      <c r="C236" s="344" t="s">
        <v>111</v>
      </c>
      <c r="D236" s="395">
        <v>3.54665961950393E14</v>
      </c>
      <c r="E236" s="183">
        <f t="shared" si="6"/>
        <v>860</v>
      </c>
      <c r="F236" s="20">
        <v>840.0</v>
      </c>
      <c r="G236" s="395">
        <v>128.0</v>
      </c>
      <c r="H236" s="79" t="s">
        <v>436</v>
      </c>
      <c r="I236" s="219" t="s">
        <v>437</v>
      </c>
      <c r="J236" s="247">
        <v>41269.0</v>
      </c>
      <c r="K236" s="47" t="s">
        <v>438</v>
      </c>
      <c r="L236" s="238"/>
      <c r="M236" s="238"/>
      <c r="N236" s="238"/>
      <c r="O236" s="238"/>
    </row>
    <row r="237">
      <c r="A237" s="26">
        <v>6.0</v>
      </c>
      <c r="B237" s="390" t="s">
        <v>121</v>
      </c>
      <c r="C237" s="344" t="s">
        <v>19</v>
      </c>
      <c r="D237" s="395">
        <v>3.53171920081835E14</v>
      </c>
      <c r="E237" s="19">
        <f t="shared" si="6"/>
        <v>880</v>
      </c>
      <c r="F237" s="183">
        <v>860.0</v>
      </c>
      <c r="G237" s="21" t="s">
        <v>209</v>
      </c>
      <c r="H237" s="54" t="s">
        <v>439</v>
      </c>
      <c r="I237" s="247">
        <v>45930.0</v>
      </c>
      <c r="J237" s="247">
        <v>46021.0</v>
      </c>
      <c r="K237" s="47" t="s">
        <v>440</v>
      </c>
      <c r="L237" s="238"/>
      <c r="M237" s="238"/>
      <c r="N237" s="238"/>
      <c r="O237" s="238"/>
    </row>
    <row r="238">
      <c r="A238" s="15">
        <v>7.0</v>
      </c>
      <c r="B238" s="51" t="s">
        <v>214</v>
      </c>
      <c r="C238" s="91" t="s">
        <v>19</v>
      </c>
      <c r="D238" s="131">
        <v>3.5717085000091E14</v>
      </c>
      <c r="E238" s="19">
        <f t="shared" si="6"/>
        <v>910</v>
      </c>
      <c r="F238" s="205">
        <v>890.0</v>
      </c>
      <c r="G238" s="132" t="s">
        <v>55</v>
      </c>
      <c r="H238" s="54" t="s">
        <v>441</v>
      </c>
      <c r="I238" s="247">
        <v>45930.0</v>
      </c>
      <c r="J238" s="185">
        <v>46021.0</v>
      </c>
      <c r="K238" s="47" t="s">
        <v>442</v>
      </c>
      <c r="L238" s="238"/>
      <c r="M238" s="238"/>
      <c r="N238" s="238"/>
      <c r="O238" s="238"/>
    </row>
    <row r="239">
      <c r="A239" s="404" t="s">
        <v>159</v>
      </c>
      <c r="B239" s="11"/>
      <c r="C239" s="11"/>
      <c r="D239" s="11"/>
      <c r="E239" s="11"/>
      <c r="F239" s="11"/>
      <c r="G239" s="11"/>
      <c r="H239" s="11"/>
      <c r="I239" s="11"/>
      <c r="J239" s="11"/>
      <c r="K239" s="12"/>
      <c r="L239" s="238"/>
      <c r="M239" s="238"/>
      <c r="N239" s="238"/>
      <c r="O239" s="238"/>
    </row>
    <row r="240">
      <c r="A240" s="15">
        <v>1.0</v>
      </c>
      <c r="B240" s="16" t="s">
        <v>31</v>
      </c>
      <c r="C240" s="344" t="s">
        <v>19</v>
      </c>
      <c r="D240" s="57">
        <v>3.56867111393676E14</v>
      </c>
      <c r="E240" s="19">
        <v>420.0</v>
      </c>
      <c r="F240" s="142">
        <v>390.0</v>
      </c>
      <c r="G240" s="21" t="s">
        <v>30</v>
      </c>
      <c r="H240" s="54" t="s">
        <v>443</v>
      </c>
      <c r="I240" s="145">
        <v>45938.0</v>
      </c>
      <c r="J240" s="145">
        <v>46061.0</v>
      </c>
      <c r="K240" s="47" t="s">
        <v>444</v>
      </c>
      <c r="L240" s="238"/>
      <c r="M240" s="238"/>
      <c r="N240" s="238"/>
      <c r="O240" s="238"/>
    </row>
    <row r="241">
      <c r="A241" s="15">
        <v>2.0</v>
      </c>
      <c r="B241" s="412" t="s">
        <v>81</v>
      </c>
      <c r="C241" s="413" t="s">
        <v>19</v>
      </c>
      <c r="D241" s="57">
        <v>3.54155259560922E14</v>
      </c>
      <c r="E241" s="19">
        <v>580.0</v>
      </c>
      <c r="F241" s="414">
        <v>550.0</v>
      </c>
      <c r="G241" s="415" t="s">
        <v>209</v>
      </c>
      <c r="H241" s="54" t="s">
        <v>445</v>
      </c>
      <c r="I241" s="247">
        <v>45945.0</v>
      </c>
      <c r="J241" s="185">
        <v>46068.0</v>
      </c>
      <c r="K241" s="24" t="s">
        <v>446</v>
      </c>
      <c r="L241" s="238"/>
      <c r="M241" s="238"/>
      <c r="N241" s="238"/>
      <c r="O241" s="238"/>
    </row>
    <row r="242">
      <c r="A242" s="126">
        <v>3.0</v>
      </c>
      <c r="B242" s="191" t="s">
        <v>230</v>
      </c>
      <c r="C242" s="416" t="s">
        <v>19</v>
      </c>
      <c r="D242" s="182">
        <v>3.54627904411677E14</v>
      </c>
      <c r="E242" s="19">
        <v>730.0</v>
      </c>
      <c r="F242" s="218">
        <v>700.0</v>
      </c>
      <c r="G242" s="91" t="s">
        <v>65</v>
      </c>
      <c r="H242" s="100" t="s">
        <v>447</v>
      </c>
      <c r="I242" s="247">
        <v>45945.0</v>
      </c>
      <c r="J242" s="185">
        <v>46068.0</v>
      </c>
      <c r="K242" s="47" t="s">
        <v>448</v>
      </c>
      <c r="L242" s="238"/>
      <c r="M242" s="238"/>
      <c r="N242" s="238"/>
      <c r="O242" s="238"/>
    </row>
    <row r="243">
      <c r="A243" s="15">
        <v>4.0</v>
      </c>
      <c r="B243" s="417" t="s">
        <v>449</v>
      </c>
      <c r="C243" s="39" t="s">
        <v>111</v>
      </c>
      <c r="D243" s="120">
        <v>3.53112971828948E14</v>
      </c>
      <c r="E243" s="19">
        <v>450.0</v>
      </c>
      <c r="F243" s="246" t="s">
        <v>98</v>
      </c>
      <c r="G243" s="91" t="s">
        <v>98</v>
      </c>
      <c r="H243" s="195" t="s">
        <v>450</v>
      </c>
      <c r="I243" s="247">
        <v>45950.0</v>
      </c>
      <c r="J243" s="247">
        <v>46073.0</v>
      </c>
      <c r="K243" s="24" t="s">
        <v>451</v>
      </c>
      <c r="L243" s="238"/>
      <c r="M243" s="238"/>
      <c r="N243" s="238"/>
      <c r="O243" s="238"/>
    </row>
    <row r="244">
      <c r="A244" s="15">
        <v>5.0</v>
      </c>
      <c r="B244" s="180" t="s">
        <v>452</v>
      </c>
      <c r="C244" s="141" t="s">
        <v>19</v>
      </c>
      <c r="D244" s="182">
        <v>3.52847945999876E14</v>
      </c>
      <c r="E244" s="19">
        <v>950.0</v>
      </c>
      <c r="F244" s="183">
        <v>900.0</v>
      </c>
      <c r="G244" s="21" t="s">
        <v>55</v>
      </c>
      <c r="H244" s="79" t="s">
        <v>453</v>
      </c>
      <c r="I244" s="247">
        <v>45950.0</v>
      </c>
      <c r="J244" s="247">
        <v>46073.0</v>
      </c>
      <c r="K244" s="24" t="s">
        <v>454</v>
      </c>
      <c r="L244" s="238"/>
      <c r="M244" s="238"/>
      <c r="N244" s="238"/>
      <c r="O244" s="238"/>
    </row>
    <row r="245">
      <c r="A245" s="15">
        <v>6.0</v>
      </c>
      <c r="B245" s="180" t="s">
        <v>411</v>
      </c>
      <c r="C245" s="418" t="s">
        <v>19</v>
      </c>
      <c r="D245" s="182">
        <v>3.56511212764746E14</v>
      </c>
      <c r="E245" s="19">
        <v>950.0</v>
      </c>
      <c r="F245" s="183">
        <v>900.0</v>
      </c>
      <c r="G245" s="184" t="s">
        <v>86</v>
      </c>
      <c r="H245" s="54" t="s">
        <v>455</v>
      </c>
      <c r="I245" s="247">
        <v>45950.0</v>
      </c>
      <c r="J245" s="247">
        <v>46073.0</v>
      </c>
      <c r="K245" s="24" t="s">
        <v>456</v>
      </c>
      <c r="L245" s="238"/>
      <c r="M245" s="238"/>
      <c r="N245" s="238"/>
      <c r="O245" s="238"/>
    </row>
    <row r="246">
      <c r="A246" s="126">
        <v>7.0</v>
      </c>
      <c r="B246" s="38" t="s">
        <v>457</v>
      </c>
      <c r="C246" s="419" t="s">
        <v>111</v>
      </c>
      <c r="D246" s="40">
        <v>3.57017258615254E14</v>
      </c>
      <c r="E246" s="41">
        <v>1200.0</v>
      </c>
      <c r="F246" s="42" t="s">
        <v>98</v>
      </c>
      <c r="G246" s="43">
        <v>128.0</v>
      </c>
      <c r="H246" s="54" t="s">
        <v>458</v>
      </c>
      <c r="I246" s="247">
        <v>45951.0</v>
      </c>
      <c r="J246" s="185">
        <v>46074.0</v>
      </c>
      <c r="K246" s="24" t="s">
        <v>459</v>
      </c>
      <c r="L246" s="238"/>
      <c r="M246" s="238"/>
      <c r="N246" s="238"/>
      <c r="O246" s="238"/>
    </row>
    <row r="247">
      <c r="A247" s="15">
        <v>9.0</v>
      </c>
      <c r="B247" s="420" t="s">
        <v>460</v>
      </c>
      <c r="C247" s="421" t="s">
        <v>111</v>
      </c>
      <c r="D247" s="422">
        <v>3.57247590877177E14</v>
      </c>
      <c r="E247" s="19">
        <v>1400.0</v>
      </c>
      <c r="F247" s="183">
        <v>1350.0</v>
      </c>
      <c r="G247" s="364">
        <v>256.0</v>
      </c>
      <c r="H247" s="54" t="s">
        <v>461</v>
      </c>
      <c r="I247" s="399">
        <v>45955.0</v>
      </c>
      <c r="J247" s="211">
        <v>46078.0</v>
      </c>
      <c r="K247" s="24" t="s">
        <v>462</v>
      </c>
      <c r="L247" s="238"/>
      <c r="M247" s="238"/>
      <c r="N247" s="238"/>
      <c r="O247" s="238"/>
    </row>
    <row r="248">
      <c r="A248" s="15">
        <v>10.0</v>
      </c>
      <c r="B248" s="356" t="s">
        <v>426</v>
      </c>
      <c r="C248" s="39" t="s">
        <v>111</v>
      </c>
      <c r="D248" s="111">
        <v>3.53730204639194E14</v>
      </c>
      <c r="E248" s="41" t="s">
        <v>98</v>
      </c>
      <c r="F248" s="42" t="s">
        <v>98</v>
      </c>
      <c r="G248" s="305">
        <v>128.0</v>
      </c>
      <c r="H248" s="44" t="s">
        <v>463</v>
      </c>
      <c r="I248" s="423">
        <v>45921.0</v>
      </c>
      <c r="J248" s="23"/>
      <c r="K248" s="47" t="s">
        <v>464</v>
      </c>
      <c r="L248" s="238"/>
      <c r="M248" s="238"/>
      <c r="N248" s="238"/>
      <c r="O248" s="238"/>
    </row>
    <row r="249">
      <c r="A249" s="126">
        <v>11.0</v>
      </c>
      <c r="B249" s="424" t="s">
        <v>104</v>
      </c>
      <c r="C249" s="425" t="s">
        <v>19</v>
      </c>
      <c r="D249" s="136">
        <v>3.55407369892839E14</v>
      </c>
      <c r="E249" s="19">
        <v>830.0</v>
      </c>
      <c r="F249" s="183">
        <v>800.0</v>
      </c>
      <c r="G249" s="184" t="s">
        <v>141</v>
      </c>
      <c r="H249" s="79" t="s">
        <v>465</v>
      </c>
      <c r="I249" s="206">
        <v>45960.0</v>
      </c>
      <c r="J249" s="206">
        <v>46082.0</v>
      </c>
      <c r="K249" s="24" t="s">
        <v>459</v>
      </c>
      <c r="L249" s="238"/>
      <c r="M249" s="238"/>
      <c r="N249" s="238"/>
      <c r="O249" s="238"/>
    </row>
    <row r="250">
      <c r="A250" s="15">
        <v>12.0</v>
      </c>
      <c r="B250" s="51" t="s">
        <v>466</v>
      </c>
      <c r="C250" s="426" t="s">
        <v>19</v>
      </c>
      <c r="D250" s="120">
        <v>3.53177647286839E14</v>
      </c>
      <c r="E250" s="19">
        <f>F250+20</f>
        <v>710</v>
      </c>
      <c r="F250" s="183">
        <v>690.0</v>
      </c>
      <c r="G250" s="121" t="s">
        <v>65</v>
      </c>
      <c r="H250" s="79" t="s">
        <v>467</v>
      </c>
      <c r="I250" s="206">
        <v>45961.0</v>
      </c>
      <c r="J250" s="206">
        <v>46083.0</v>
      </c>
      <c r="K250" s="24" t="s">
        <v>459</v>
      </c>
      <c r="L250" s="238"/>
      <c r="M250" s="238"/>
      <c r="N250" s="238"/>
      <c r="O250" s="238"/>
    </row>
    <row r="251">
      <c r="A251" s="404" t="s">
        <v>164</v>
      </c>
      <c r="B251" s="11"/>
      <c r="C251" s="11"/>
      <c r="D251" s="11"/>
      <c r="E251" s="11"/>
      <c r="F251" s="11"/>
      <c r="G251" s="11"/>
      <c r="H251" s="11"/>
      <c r="I251" s="11"/>
      <c r="J251" s="11"/>
      <c r="K251" s="12"/>
      <c r="L251" s="238"/>
      <c r="M251" s="238"/>
      <c r="N251" s="238"/>
      <c r="O251" s="238"/>
    </row>
    <row r="252">
      <c r="A252" s="15">
        <v>1.0</v>
      </c>
      <c r="B252" s="38" t="s">
        <v>88</v>
      </c>
      <c r="C252" s="39" t="s">
        <v>19</v>
      </c>
      <c r="D252" s="40">
        <v>3.54345290455493E14</v>
      </c>
      <c r="E252" s="41">
        <v>870.0</v>
      </c>
      <c r="F252" s="205">
        <v>840.0</v>
      </c>
      <c r="G252" s="43" t="s">
        <v>211</v>
      </c>
      <c r="H252" s="54" t="s">
        <v>468</v>
      </c>
      <c r="I252" s="174">
        <v>45964.0</v>
      </c>
      <c r="J252" s="174">
        <v>45719.0</v>
      </c>
      <c r="K252" s="24" t="s">
        <v>469</v>
      </c>
      <c r="L252" s="238"/>
      <c r="M252" s="238"/>
      <c r="N252" s="238"/>
      <c r="O252" s="238"/>
    </row>
    <row r="253">
      <c r="A253" s="126">
        <v>2.0</v>
      </c>
      <c r="B253" s="110" t="s">
        <v>470</v>
      </c>
      <c r="C253" s="427" t="s">
        <v>111</v>
      </c>
      <c r="D253" s="18">
        <v>3.52294446106182E14</v>
      </c>
      <c r="E253" s="65">
        <v>1500.0</v>
      </c>
      <c r="F253" s="66" t="s">
        <v>98</v>
      </c>
      <c r="G253" s="112">
        <v>256.0</v>
      </c>
      <c r="H253" s="44" t="s">
        <v>471</v>
      </c>
      <c r="I253" s="428">
        <v>45964.0</v>
      </c>
      <c r="J253" s="174">
        <v>45719.0</v>
      </c>
      <c r="K253" s="47" t="s">
        <v>472</v>
      </c>
      <c r="L253" s="238"/>
      <c r="M253" s="238"/>
      <c r="N253" s="238"/>
      <c r="O253" s="238"/>
    </row>
    <row r="254">
      <c r="A254" s="126">
        <v>3.0</v>
      </c>
      <c r="B254" s="191" t="s">
        <v>217</v>
      </c>
      <c r="C254" s="181" t="s">
        <v>19</v>
      </c>
      <c r="D254" s="182">
        <v>3.51228765448305E14</v>
      </c>
      <c r="E254" s="19">
        <v>620.0</v>
      </c>
      <c r="F254" s="205">
        <v>600.0</v>
      </c>
      <c r="G254" s="429" t="s">
        <v>84</v>
      </c>
      <c r="H254" s="54" t="s">
        <v>473</v>
      </c>
      <c r="I254" s="428">
        <v>45967.0</v>
      </c>
      <c r="J254" s="185">
        <v>46087.0</v>
      </c>
      <c r="K254" s="24" t="s">
        <v>459</v>
      </c>
      <c r="L254" s="238"/>
      <c r="M254" s="238"/>
      <c r="N254" s="238"/>
      <c r="O254" s="238"/>
    </row>
    <row r="255">
      <c r="A255" s="15">
        <v>4.0</v>
      </c>
      <c r="B255" s="430" t="s">
        <v>217</v>
      </c>
      <c r="C255" s="416" t="s">
        <v>19</v>
      </c>
      <c r="D255" s="431">
        <v>3.53163802542666E14</v>
      </c>
      <c r="E255" s="19">
        <v>620.0</v>
      </c>
      <c r="F255" s="183">
        <v>600.0</v>
      </c>
      <c r="G255" s="21" t="s">
        <v>84</v>
      </c>
      <c r="H255" s="195" t="s">
        <v>474</v>
      </c>
      <c r="I255" s="428">
        <v>45967.0</v>
      </c>
      <c r="J255" s="185">
        <v>46087.0</v>
      </c>
      <c r="K255" s="24" t="s">
        <v>459</v>
      </c>
      <c r="L255" s="238"/>
      <c r="M255" s="238"/>
      <c r="N255" s="238"/>
      <c r="O255" s="238"/>
    </row>
    <row r="256">
      <c r="A256" s="15">
        <v>5.0</v>
      </c>
      <c r="B256" s="432" t="s">
        <v>475</v>
      </c>
      <c r="C256" s="433" t="s">
        <v>111</v>
      </c>
      <c r="D256" s="434">
        <v>3.5399082021235E14</v>
      </c>
      <c r="E256" s="19">
        <v>1300.0</v>
      </c>
      <c r="F256" s="142">
        <v>1250.0</v>
      </c>
      <c r="G256" s="112">
        <v>512.0</v>
      </c>
      <c r="H256" s="54" t="s">
        <v>476</v>
      </c>
      <c r="I256" s="435">
        <v>45968.0</v>
      </c>
      <c r="J256" s="144">
        <v>46088.0</v>
      </c>
      <c r="K256" s="47" t="s">
        <v>477</v>
      </c>
      <c r="L256" s="238"/>
      <c r="M256" s="238"/>
      <c r="N256" s="238"/>
      <c r="O256" s="238"/>
    </row>
    <row r="257">
      <c r="A257" s="126">
        <v>6.0</v>
      </c>
      <c r="B257" s="424" t="s">
        <v>104</v>
      </c>
      <c r="C257" s="425" t="s">
        <v>19</v>
      </c>
      <c r="D257" s="436">
        <v>3.54070967987905E14</v>
      </c>
      <c r="E257" s="19">
        <v>850.0</v>
      </c>
      <c r="F257" s="183">
        <v>800.0</v>
      </c>
      <c r="G257" s="364" t="s">
        <v>86</v>
      </c>
      <c r="H257" s="79" t="s">
        <v>478</v>
      </c>
      <c r="I257" s="206">
        <v>45969.0</v>
      </c>
      <c r="J257" s="206">
        <v>46089.0</v>
      </c>
      <c r="K257" s="24" t="s">
        <v>479</v>
      </c>
      <c r="L257" s="238"/>
      <c r="M257" s="238"/>
      <c r="N257" s="238"/>
      <c r="O257" s="238"/>
    </row>
    <row r="258">
      <c r="A258" s="126">
        <v>7.0</v>
      </c>
      <c r="B258" s="437" t="s">
        <v>204</v>
      </c>
      <c r="C258" s="438" t="s">
        <v>19</v>
      </c>
      <c r="D258" s="111">
        <v>3.53754684560894E14</v>
      </c>
      <c r="E258" s="19">
        <f t="shared" ref="E258:E261" si="7">F258+20</f>
        <v>670</v>
      </c>
      <c r="F258" s="142">
        <v>650.0</v>
      </c>
      <c r="G258" s="112" t="s">
        <v>32</v>
      </c>
      <c r="H258" s="54" t="s">
        <v>480</v>
      </c>
      <c r="I258" s="144">
        <v>45974.0</v>
      </c>
      <c r="J258" s="145">
        <v>46094.0</v>
      </c>
      <c r="K258" s="47" t="s">
        <v>124</v>
      </c>
      <c r="L258" s="238"/>
      <c r="M258" s="238"/>
      <c r="N258" s="238"/>
      <c r="O258" s="238"/>
    </row>
    <row r="259">
      <c r="A259" s="15">
        <v>8.0</v>
      </c>
      <c r="B259" s="110" t="s">
        <v>85</v>
      </c>
      <c r="C259" s="114" t="s">
        <v>19</v>
      </c>
      <c r="D259" s="395">
        <v>3.5351435727576E14</v>
      </c>
      <c r="E259" s="142">
        <f t="shared" si="7"/>
        <v>570</v>
      </c>
      <c r="F259" s="20">
        <v>550.0</v>
      </c>
      <c r="G259" s="395" t="s">
        <v>30</v>
      </c>
      <c r="H259" s="92" t="s">
        <v>481</v>
      </c>
      <c r="I259" s="219" t="s">
        <v>482</v>
      </c>
      <c r="J259" s="219" t="s">
        <v>483</v>
      </c>
      <c r="K259" s="47" t="s">
        <v>186</v>
      </c>
      <c r="L259" s="238"/>
      <c r="M259" s="238"/>
      <c r="N259" s="238"/>
      <c r="O259" s="238"/>
    </row>
    <row r="260">
      <c r="A260" s="26">
        <v>9.0</v>
      </c>
      <c r="B260" s="48" t="s">
        <v>85</v>
      </c>
      <c r="C260" s="439" t="s">
        <v>19</v>
      </c>
      <c r="D260" s="440">
        <v>3.56691198376945E14</v>
      </c>
      <c r="E260" s="183">
        <f t="shared" si="7"/>
        <v>580</v>
      </c>
      <c r="F260" s="20">
        <v>560.0</v>
      </c>
      <c r="G260" s="50" t="s">
        <v>84</v>
      </c>
      <c r="H260" s="54" t="s">
        <v>484</v>
      </c>
      <c r="I260" s="399">
        <v>45979.0</v>
      </c>
      <c r="J260" s="174">
        <v>46099.0</v>
      </c>
      <c r="K260" s="24" t="s">
        <v>459</v>
      </c>
      <c r="L260" s="238"/>
      <c r="M260" s="238"/>
      <c r="N260" s="238"/>
      <c r="O260" s="238"/>
    </row>
    <row r="261">
      <c r="A261" s="15">
        <v>10.0</v>
      </c>
      <c r="B261" s="110" t="s">
        <v>61</v>
      </c>
      <c r="C261" s="389" t="s">
        <v>19</v>
      </c>
      <c r="D261" s="234">
        <v>3.58654499196295E14</v>
      </c>
      <c r="E261" s="19">
        <f t="shared" si="7"/>
        <v>540</v>
      </c>
      <c r="F261" s="142">
        <v>520.0</v>
      </c>
      <c r="G261" s="223" t="s">
        <v>485</v>
      </c>
      <c r="H261" s="228" t="s">
        <v>486</v>
      </c>
      <c r="I261" s="144">
        <v>45987.0</v>
      </c>
      <c r="J261" s="145">
        <v>46107.0</v>
      </c>
      <c r="K261" s="47" t="s">
        <v>124</v>
      </c>
      <c r="L261" s="238"/>
      <c r="M261" s="238"/>
      <c r="N261" s="238"/>
      <c r="O261" s="238"/>
    </row>
  </sheetData>
  <mergeCells count="14">
    <mergeCell ref="A135:K135"/>
    <mergeCell ref="A173:K173"/>
    <mergeCell ref="A196:K196"/>
    <mergeCell ref="A216:K216"/>
    <mergeCell ref="A231:K231"/>
    <mergeCell ref="A239:K239"/>
    <mergeCell ref="A251:K251"/>
    <mergeCell ref="A2:F2"/>
    <mergeCell ref="G2:K2"/>
    <mergeCell ref="A51:K51"/>
    <mergeCell ref="A53:K53"/>
    <mergeCell ref="A61:K61"/>
    <mergeCell ref="T61:U61"/>
    <mergeCell ref="A112:K112"/>
  </mergeCells>
  <dataValidations>
    <dataValidation type="list" allowBlank="1" sqref="C3:C50 C52 C54:C60 C62:C111 C113:C134 C136:C172 C174:C195 C197:C215 C217:C230 C232:C238 C240:C250 C252:C261">
      <formula1>"Sellado,Usado"</formula1>
    </dataValidation>
  </dataValidations>
  <printOptions gridLines="1" horizontalCentered="1"/>
  <pageMargins bottom="0.75" footer="0.0" header="0.0" left="0.7" right="0.7" top="0.75"/>
  <pageSetup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4.5"/>
    <col customWidth="1" min="2" max="2" width="12.0"/>
    <col customWidth="1" min="3" max="3" width="12.5"/>
    <col customWidth="1" min="4" max="4" width="5.5"/>
    <col customWidth="1" min="5" max="5" width="11.38"/>
    <col customWidth="1" min="6" max="6" width="6.25"/>
    <col customWidth="1" min="7" max="7" width="10.5"/>
    <col customWidth="1" min="8" max="8" width="11.5"/>
    <col customWidth="1" min="9" max="9" width="11.0"/>
    <col customWidth="1" min="10" max="11" width="10.63"/>
    <col customWidth="1" min="12" max="12" width="5.75"/>
  </cols>
  <sheetData>
    <row r="1">
      <c r="A1" s="441" t="s">
        <v>487</v>
      </c>
      <c r="B1" s="11"/>
      <c r="C1" s="11"/>
      <c r="D1" s="11"/>
      <c r="E1" s="11"/>
      <c r="F1" s="11"/>
      <c r="G1" s="11"/>
      <c r="H1" s="11"/>
      <c r="I1" s="11"/>
      <c r="J1" s="11"/>
      <c r="K1" s="11"/>
      <c r="L1" s="12"/>
    </row>
    <row r="2">
      <c r="A2" s="442" t="s">
        <v>0</v>
      </c>
      <c r="B2" s="443" t="s">
        <v>488</v>
      </c>
      <c r="C2" s="444" t="s">
        <v>489</v>
      </c>
      <c r="D2" s="12"/>
      <c r="E2" s="445" t="s">
        <v>490</v>
      </c>
      <c r="F2" s="12"/>
      <c r="G2" s="446" t="s">
        <v>491</v>
      </c>
      <c r="H2" s="443" t="s">
        <v>492</v>
      </c>
      <c r="I2" s="447" t="s">
        <v>493</v>
      </c>
      <c r="J2" s="448" t="s">
        <v>494</v>
      </c>
      <c r="K2" s="449" t="s">
        <v>495</v>
      </c>
      <c r="L2" s="12"/>
    </row>
    <row r="3">
      <c r="A3" s="450">
        <v>1500.0</v>
      </c>
      <c r="B3" s="451" t="s">
        <v>496</v>
      </c>
      <c r="C3" s="452" t="s">
        <v>497</v>
      </c>
      <c r="D3" s="452" t="s">
        <v>498</v>
      </c>
      <c r="E3" s="453" t="s">
        <v>499</v>
      </c>
      <c r="F3" s="452" t="s">
        <v>500</v>
      </c>
      <c r="G3" s="454"/>
      <c r="H3" s="455" t="s">
        <v>501</v>
      </c>
      <c r="I3" s="456"/>
      <c r="J3" s="457"/>
      <c r="K3" s="458"/>
      <c r="L3" s="451" t="s">
        <v>502</v>
      </c>
    </row>
    <row r="4">
      <c r="A4" s="459" t="s">
        <v>503</v>
      </c>
      <c r="B4" s="460">
        <v>7900.0</v>
      </c>
      <c r="C4" s="461" t="s">
        <v>504</v>
      </c>
      <c r="D4" s="462" t="s">
        <v>505</v>
      </c>
      <c r="E4" s="463" t="s">
        <v>506</v>
      </c>
      <c r="F4" s="464" t="s">
        <v>507</v>
      </c>
      <c r="G4" s="465" t="s">
        <v>508</v>
      </c>
      <c r="H4" s="461">
        <v>60.0</v>
      </c>
      <c r="I4" s="466">
        <v>20000.0</v>
      </c>
      <c r="J4" s="465" t="s">
        <v>508</v>
      </c>
      <c r="K4" s="467">
        <v>25000.0</v>
      </c>
      <c r="L4" s="468">
        <v>64.0</v>
      </c>
    </row>
    <row r="5">
      <c r="A5" s="459" t="s">
        <v>509</v>
      </c>
      <c r="B5" s="467">
        <v>7000.0</v>
      </c>
      <c r="C5" s="469" t="s">
        <v>510</v>
      </c>
      <c r="D5" s="462" t="s">
        <v>505</v>
      </c>
      <c r="E5" s="468" t="s">
        <v>511</v>
      </c>
      <c r="F5" s="462" t="s">
        <v>512</v>
      </c>
      <c r="G5" s="470" t="s">
        <v>98</v>
      </c>
      <c r="H5" s="471" t="s">
        <v>98</v>
      </c>
      <c r="I5" s="466">
        <v>20000.0</v>
      </c>
      <c r="J5" s="465" t="s">
        <v>508</v>
      </c>
      <c r="K5" s="467">
        <v>35000.0</v>
      </c>
      <c r="L5" s="468">
        <v>128.0</v>
      </c>
    </row>
    <row r="6">
      <c r="A6" s="459" t="s">
        <v>513</v>
      </c>
      <c r="B6" s="467">
        <v>7000.0</v>
      </c>
      <c r="C6" s="469" t="s">
        <v>510</v>
      </c>
      <c r="D6" s="462" t="s">
        <v>505</v>
      </c>
      <c r="E6" s="468" t="s">
        <v>514</v>
      </c>
      <c r="F6" s="462" t="s">
        <v>512</v>
      </c>
      <c r="G6" s="470" t="s">
        <v>98</v>
      </c>
      <c r="H6" s="471" t="s">
        <v>98</v>
      </c>
      <c r="I6" s="466">
        <v>20000.0</v>
      </c>
      <c r="J6" s="465" t="s">
        <v>508</v>
      </c>
      <c r="K6" s="467">
        <v>45000.0</v>
      </c>
      <c r="L6" s="468">
        <v>256.0</v>
      </c>
    </row>
    <row r="7">
      <c r="A7" s="472" t="s">
        <v>515</v>
      </c>
      <c r="B7" s="467">
        <v>7000.0</v>
      </c>
      <c r="C7" s="469" t="s">
        <v>516</v>
      </c>
      <c r="D7" s="462" t="s">
        <v>505</v>
      </c>
      <c r="E7" s="468" t="s">
        <v>517</v>
      </c>
      <c r="F7" s="462" t="s">
        <v>512</v>
      </c>
      <c r="G7" s="470" t="s">
        <v>98</v>
      </c>
      <c r="H7" s="471" t="s">
        <v>98</v>
      </c>
      <c r="I7" s="466">
        <v>20000.0</v>
      </c>
      <c r="J7" s="465" t="s">
        <v>508</v>
      </c>
      <c r="K7" s="467">
        <v>70000.0</v>
      </c>
      <c r="L7" s="468">
        <v>512.0</v>
      </c>
    </row>
    <row r="8">
      <c r="A8" s="459" t="s">
        <v>518</v>
      </c>
      <c r="B8" s="467">
        <v>7000.0</v>
      </c>
      <c r="C8" s="469" t="s">
        <v>519</v>
      </c>
      <c r="D8" s="462" t="s">
        <v>505</v>
      </c>
      <c r="E8" s="468" t="s">
        <v>520</v>
      </c>
      <c r="F8" s="462" t="s">
        <v>512</v>
      </c>
      <c r="G8" s="470" t="s">
        <v>98</v>
      </c>
      <c r="H8" s="471" t="s">
        <v>98</v>
      </c>
      <c r="I8" s="466">
        <v>20000.0</v>
      </c>
      <c r="J8" s="465" t="s">
        <v>508</v>
      </c>
      <c r="K8" s="467"/>
      <c r="L8" s="467"/>
    </row>
    <row r="9">
      <c r="A9" s="459" t="s">
        <v>521</v>
      </c>
      <c r="B9" s="460">
        <v>7900.0</v>
      </c>
      <c r="C9" s="461">
        <v>40.0</v>
      </c>
      <c r="D9" s="462" t="s">
        <v>505</v>
      </c>
      <c r="E9" s="463" t="s">
        <v>522</v>
      </c>
      <c r="F9" s="462" t="s">
        <v>512</v>
      </c>
      <c r="G9" s="461">
        <v>17.0</v>
      </c>
      <c r="H9" s="471" t="s">
        <v>98</v>
      </c>
      <c r="I9" s="466">
        <v>20000.0</v>
      </c>
      <c r="J9" s="465" t="s">
        <v>508</v>
      </c>
      <c r="K9" s="467"/>
      <c r="L9" s="467" t="s">
        <v>523</v>
      </c>
    </row>
    <row r="10">
      <c r="A10" s="472" t="s">
        <v>524</v>
      </c>
      <c r="B10" s="460">
        <v>7900.0</v>
      </c>
      <c r="C10" s="461">
        <v>55.0</v>
      </c>
      <c r="D10" s="462" t="s">
        <v>505</v>
      </c>
      <c r="E10" s="463" t="s">
        <v>504</v>
      </c>
      <c r="F10" s="462" t="s">
        <v>512</v>
      </c>
      <c r="G10" s="461">
        <v>20.0</v>
      </c>
      <c r="H10" s="471" t="s">
        <v>98</v>
      </c>
      <c r="I10" s="466">
        <v>20000.0</v>
      </c>
      <c r="J10" s="465" t="s">
        <v>508</v>
      </c>
      <c r="K10" s="467"/>
      <c r="L10" s="467"/>
    </row>
    <row r="11">
      <c r="A11" s="472" t="s">
        <v>525</v>
      </c>
      <c r="B11" s="467">
        <v>7900.0</v>
      </c>
      <c r="C11" s="469">
        <v>45.0</v>
      </c>
      <c r="D11" s="462" t="s">
        <v>505</v>
      </c>
      <c r="E11" s="468" t="s">
        <v>504</v>
      </c>
      <c r="F11" s="462" t="s">
        <v>512</v>
      </c>
      <c r="G11" s="473">
        <v>17.0</v>
      </c>
      <c r="H11" s="469">
        <v>50.0</v>
      </c>
      <c r="I11" s="466">
        <v>20000.0</v>
      </c>
      <c r="J11" s="465" t="s">
        <v>508</v>
      </c>
      <c r="K11" s="467"/>
      <c r="L11" s="467"/>
    </row>
    <row r="12" ht="18.75" customHeight="1">
      <c r="A12" s="459" t="s">
        <v>526</v>
      </c>
      <c r="B12" s="467">
        <v>7900.0</v>
      </c>
      <c r="C12" s="469">
        <v>60.0</v>
      </c>
      <c r="D12" s="462" t="s">
        <v>505</v>
      </c>
      <c r="E12" s="468" t="s">
        <v>527</v>
      </c>
      <c r="F12" s="462" t="s">
        <v>512</v>
      </c>
      <c r="G12" s="473">
        <v>20.0</v>
      </c>
      <c r="H12" s="469">
        <v>55.0</v>
      </c>
      <c r="I12" s="466">
        <v>20000.0</v>
      </c>
      <c r="J12" s="465" t="s">
        <v>508</v>
      </c>
      <c r="K12" s="467"/>
      <c r="L12" s="467"/>
    </row>
    <row r="13">
      <c r="A13" s="472" t="s">
        <v>528</v>
      </c>
      <c r="B13" s="460" t="s">
        <v>529</v>
      </c>
      <c r="C13" s="461">
        <v>100.0</v>
      </c>
      <c r="D13" s="462" t="s">
        <v>505</v>
      </c>
      <c r="E13" s="463" t="s">
        <v>530</v>
      </c>
      <c r="F13" s="462" t="s">
        <v>512</v>
      </c>
      <c r="G13" s="461">
        <v>20.0</v>
      </c>
      <c r="H13" s="461">
        <v>60.0</v>
      </c>
      <c r="I13" s="466">
        <v>20000.0</v>
      </c>
      <c r="J13" s="465" t="s">
        <v>508</v>
      </c>
      <c r="K13" s="467"/>
      <c r="L13" s="467"/>
    </row>
    <row r="14">
      <c r="A14" s="472" t="s">
        <v>531</v>
      </c>
      <c r="B14" s="460">
        <v>9500.0</v>
      </c>
      <c r="C14" s="461" t="s">
        <v>532</v>
      </c>
      <c r="D14" s="462" t="s">
        <v>505</v>
      </c>
      <c r="E14" s="474" t="s">
        <v>530</v>
      </c>
      <c r="F14" s="464" t="s">
        <v>507</v>
      </c>
      <c r="G14" s="461">
        <v>20.0</v>
      </c>
      <c r="H14" s="461">
        <v>60.0</v>
      </c>
      <c r="I14" s="466">
        <v>20000.0</v>
      </c>
      <c r="J14" s="465" t="s">
        <v>508</v>
      </c>
      <c r="K14" s="467"/>
      <c r="L14" s="467"/>
    </row>
    <row r="15">
      <c r="A15" s="472" t="s">
        <v>533</v>
      </c>
      <c r="B15" s="460">
        <v>9500.0</v>
      </c>
      <c r="C15" s="461" t="s">
        <v>534</v>
      </c>
      <c r="D15" s="462" t="s">
        <v>505</v>
      </c>
      <c r="E15" s="475" t="s">
        <v>530</v>
      </c>
      <c r="F15" s="464" t="s">
        <v>507</v>
      </c>
      <c r="G15" s="461">
        <v>20.0</v>
      </c>
      <c r="H15" s="461">
        <v>65.0</v>
      </c>
      <c r="I15" s="466">
        <v>20000.0</v>
      </c>
      <c r="J15" s="465" t="s">
        <v>508</v>
      </c>
      <c r="K15" s="467"/>
      <c r="L15" s="467"/>
    </row>
    <row r="16" ht="17.25" customHeight="1">
      <c r="A16" s="472" t="s">
        <v>535</v>
      </c>
      <c r="B16" s="460">
        <v>9500.0</v>
      </c>
      <c r="C16" s="461">
        <v>75.0</v>
      </c>
      <c r="D16" s="462" t="s">
        <v>505</v>
      </c>
      <c r="E16" s="463" t="s">
        <v>536</v>
      </c>
      <c r="F16" s="464" t="s">
        <v>507</v>
      </c>
      <c r="G16" s="461">
        <v>20.0</v>
      </c>
      <c r="H16" s="461">
        <v>65.0</v>
      </c>
      <c r="I16" s="466">
        <v>20000.0</v>
      </c>
      <c r="J16" s="465" t="s">
        <v>508</v>
      </c>
      <c r="K16" s="467"/>
      <c r="L16" s="467"/>
    </row>
    <row r="17" ht="18.75" customHeight="1">
      <c r="A17" s="459" t="s">
        <v>537</v>
      </c>
      <c r="B17" s="467">
        <v>11000.0</v>
      </c>
      <c r="C17" s="469" t="s">
        <v>538</v>
      </c>
      <c r="D17" s="464" t="s">
        <v>539</v>
      </c>
      <c r="E17" s="468" t="s">
        <v>540</v>
      </c>
      <c r="F17" s="464" t="s">
        <v>507</v>
      </c>
      <c r="G17" s="473">
        <v>25.0</v>
      </c>
      <c r="H17" s="473">
        <v>70.0</v>
      </c>
      <c r="I17" s="466">
        <v>20000.0</v>
      </c>
      <c r="J17" s="465" t="s">
        <v>508</v>
      </c>
      <c r="K17" s="467"/>
      <c r="L17" s="467"/>
    </row>
    <row r="18">
      <c r="A18" s="472" t="s">
        <v>541</v>
      </c>
      <c r="B18" s="467">
        <v>11000.0</v>
      </c>
      <c r="C18" s="473" t="s">
        <v>542</v>
      </c>
      <c r="D18" s="464" t="s">
        <v>539</v>
      </c>
      <c r="E18" s="468" t="s">
        <v>543</v>
      </c>
      <c r="F18" s="464" t="s">
        <v>507</v>
      </c>
      <c r="G18" s="473">
        <v>25.0</v>
      </c>
      <c r="H18" s="473">
        <v>80.0</v>
      </c>
      <c r="I18" s="466">
        <v>20000.0</v>
      </c>
      <c r="J18" s="465" t="s">
        <v>508</v>
      </c>
      <c r="K18" s="467"/>
      <c r="L18" s="467"/>
    </row>
    <row r="19">
      <c r="A19" s="459" t="s">
        <v>544</v>
      </c>
      <c r="B19" s="467">
        <v>11000.0</v>
      </c>
      <c r="C19" s="473" t="s">
        <v>545</v>
      </c>
      <c r="D19" s="476" t="s">
        <v>539</v>
      </c>
      <c r="E19" s="468" t="s">
        <v>536</v>
      </c>
      <c r="F19" s="464" t="s">
        <v>507</v>
      </c>
      <c r="G19" s="473">
        <v>28.0</v>
      </c>
      <c r="H19" s="473">
        <v>85.0</v>
      </c>
      <c r="I19" s="466">
        <v>20000.0</v>
      </c>
      <c r="J19" s="465" t="s">
        <v>508</v>
      </c>
      <c r="K19" s="467"/>
      <c r="L19" s="467"/>
    </row>
    <row r="20">
      <c r="A20" s="472" t="s">
        <v>546</v>
      </c>
      <c r="B20" s="460">
        <v>11900.0</v>
      </c>
      <c r="C20" s="477" t="s">
        <v>547</v>
      </c>
      <c r="D20" s="478" t="s">
        <v>548</v>
      </c>
      <c r="E20" s="463" t="s">
        <v>540</v>
      </c>
      <c r="F20" s="464" t="s">
        <v>507</v>
      </c>
      <c r="G20" s="461">
        <v>28.0</v>
      </c>
      <c r="H20" s="479" t="s">
        <v>549</v>
      </c>
      <c r="I20" s="466">
        <v>20000.0</v>
      </c>
      <c r="J20" s="465" t="s">
        <v>508</v>
      </c>
      <c r="K20" s="467"/>
      <c r="L20" s="467"/>
    </row>
    <row r="21" ht="17.25" customHeight="1">
      <c r="A21" s="472" t="s">
        <v>550</v>
      </c>
      <c r="B21" s="460">
        <v>11900.0</v>
      </c>
      <c r="C21" s="461" t="s">
        <v>551</v>
      </c>
      <c r="D21" s="478" t="s">
        <v>548</v>
      </c>
      <c r="E21" s="463" t="s">
        <v>552</v>
      </c>
      <c r="F21" s="464" t="s">
        <v>507</v>
      </c>
      <c r="G21" s="461">
        <v>28.0</v>
      </c>
      <c r="H21" s="461">
        <v>80.0</v>
      </c>
      <c r="I21" s="466">
        <v>20000.0</v>
      </c>
      <c r="J21" s="461">
        <v>60.0</v>
      </c>
      <c r="K21" s="467"/>
      <c r="L21" s="467"/>
    </row>
    <row r="22">
      <c r="A22" s="472" t="s">
        <v>553</v>
      </c>
      <c r="B22" s="460">
        <v>11900.0</v>
      </c>
      <c r="C22" s="461" t="s">
        <v>554</v>
      </c>
      <c r="D22" s="478" t="s">
        <v>548</v>
      </c>
      <c r="E22" s="475" t="s">
        <v>540</v>
      </c>
      <c r="F22" s="464" t="s">
        <v>507</v>
      </c>
      <c r="G22" s="461">
        <v>28.0</v>
      </c>
      <c r="H22" s="461">
        <v>85.0</v>
      </c>
      <c r="I22" s="466">
        <v>20000.0</v>
      </c>
      <c r="J22" s="461">
        <v>60.0</v>
      </c>
      <c r="K22" s="467"/>
      <c r="L22" s="467"/>
    </row>
    <row r="23">
      <c r="A23" s="472" t="s">
        <v>555</v>
      </c>
      <c r="B23" s="460">
        <v>11900.0</v>
      </c>
      <c r="C23" s="461" t="s">
        <v>556</v>
      </c>
      <c r="D23" s="478" t="s">
        <v>548</v>
      </c>
      <c r="E23" s="463" t="s">
        <v>557</v>
      </c>
      <c r="F23" s="464" t="s">
        <v>507</v>
      </c>
      <c r="G23" s="461">
        <v>30.0</v>
      </c>
      <c r="H23" s="461">
        <v>90.0</v>
      </c>
      <c r="I23" s="466">
        <v>20000.0</v>
      </c>
      <c r="J23" s="461">
        <v>60.0</v>
      </c>
      <c r="K23" s="467"/>
      <c r="L23" s="467"/>
    </row>
    <row r="24" ht="17.25" customHeight="1">
      <c r="A24" s="472" t="s">
        <v>558</v>
      </c>
      <c r="B24" s="467">
        <v>12900.0</v>
      </c>
      <c r="C24" s="461" t="s">
        <v>559</v>
      </c>
      <c r="D24" s="478" t="s">
        <v>548</v>
      </c>
      <c r="E24" s="468" t="s">
        <v>560</v>
      </c>
      <c r="F24" s="464" t="s">
        <v>507</v>
      </c>
      <c r="G24" s="473">
        <v>30.0</v>
      </c>
      <c r="H24" s="480" t="s">
        <v>508</v>
      </c>
      <c r="I24" s="466">
        <v>20000.0</v>
      </c>
      <c r="J24" s="473">
        <v>60.0</v>
      </c>
      <c r="K24" s="470"/>
      <c r="L24" s="470"/>
    </row>
    <row r="25">
      <c r="A25" s="472" t="s">
        <v>561</v>
      </c>
      <c r="B25" s="467">
        <v>12900.0</v>
      </c>
      <c r="C25" s="461" t="s">
        <v>556</v>
      </c>
      <c r="D25" s="478" t="s">
        <v>548</v>
      </c>
      <c r="E25" s="468">
        <v>130.0</v>
      </c>
      <c r="F25" s="464" t="s">
        <v>507</v>
      </c>
      <c r="G25" s="473">
        <v>30.0</v>
      </c>
      <c r="H25" s="473">
        <v>90.0</v>
      </c>
      <c r="I25" s="466">
        <v>20000.0</v>
      </c>
      <c r="J25" s="473">
        <v>75.0</v>
      </c>
      <c r="K25" s="470"/>
      <c r="L25" s="470"/>
    </row>
    <row r="26">
      <c r="A26" s="472" t="s">
        <v>562</v>
      </c>
      <c r="B26" s="467">
        <v>12900.0</v>
      </c>
      <c r="C26" s="461" t="s">
        <v>563</v>
      </c>
      <c r="D26" s="478" t="s">
        <v>548</v>
      </c>
      <c r="E26" s="468" t="s">
        <v>564</v>
      </c>
      <c r="F26" s="464" t="s">
        <v>507</v>
      </c>
      <c r="G26" s="473">
        <v>30.0</v>
      </c>
      <c r="H26" s="473">
        <v>95.0</v>
      </c>
      <c r="I26" s="466">
        <v>20000.0</v>
      </c>
      <c r="J26" s="473">
        <v>75.0</v>
      </c>
      <c r="K26" s="470"/>
      <c r="L26" s="470"/>
    </row>
    <row r="27">
      <c r="A27" s="472" t="s">
        <v>565</v>
      </c>
      <c r="B27" s="467">
        <v>12900.0</v>
      </c>
      <c r="C27" s="473" t="s">
        <v>566</v>
      </c>
      <c r="D27" s="478" t="s">
        <v>548</v>
      </c>
      <c r="E27" s="468" t="s">
        <v>567</v>
      </c>
      <c r="F27" s="464" t="s">
        <v>507</v>
      </c>
      <c r="G27" s="473">
        <v>35.0</v>
      </c>
      <c r="H27" s="473">
        <v>100.0</v>
      </c>
      <c r="I27" s="466">
        <v>20000.0</v>
      </c>
      <c r="J27" s="473">
        <v>75.0</v>
      </c>
      <c r="K27" s="470"/>
      <c r="L27" s="470"/>
    </row>
    <row r="28">
      <c r="A28" s="481">
        <v>14.0</v>
      </c>
      <c r="B28" s="460">
        <v>13900.0</v>
      </c>
      <c r="C28" s="473" t="s">
        <v>556</v>
      </c>
      <c r="D28" s="478" t="s">
        <v>548</v>
      </c>
      <c r="E28" s="463" t="s">
        <v>564</v>
      </c>
      <c r="F28" s="464" t="s">
        <v>507</v>
      </c>
      <c r="G28" s="461">
        <v>35.0</v>
      </c>
      <c r="H28" s="461">
        <v>100.0</v>
      </c>
      <c r="I28" s="466">
        <v>20000.0</v>
      </c>
      <c r="J28" s="465" t="s">
        <v>508</v>
      </c>
      <c r="K28" s="467"/>
      <c r="L28" s="467"/>
    </row>
    <row r="29">
      <c r="A29" s="481" t="s">
        <v>568</v>
      </c>
      <c r="B29" s="460">
        <v>13900.0</v>
      </c>
      <c r="C29" s="473" t="s">
        <v>569</v>
      </c>
      <c r="D29" s="478" t="s">
        <v>548</v>
      </c>
      <c r="E29" s="463" t="s">
        <v>567</v>
      </c>
      <c r="F29" s="464" t="s">
        <v>507</v>
      </c>
      <c r="G29" s="461">
        <v>35.0</v>
      </c>
      <c r="H29" s="461">
        <v>110.0</v>
      </c>
      <c r="I29" s="466">
        <v>20000.0</v>
      </c>
      <c r="J29" s="465" t="s">
        <v>508</v>
      </c>
      <c r="K29" s="467"/>
      <c r="L29" s="467"/>
    </row>
    <row r="30">
      <c r="A30" s="481" t="s">
        <v>570</v>
      </c>
      <c r="B30" s="460">
        <v>13900.0</v>
      </c>
      <c r="C30" s="473" t="s">
        <v>569</v>
      </c>
      <c r="D30" s="478" t="s">
        <v>548</v>
      </c>
      <c r="E30" s="463" t="s">
        <v>571</v>
      </c>
      <c r="F30" s="464" t="s">
        <v>507</v>
      </c>
      <c r="G30" s="461">
        <v>38.0</v>
      </c>
      <c r="H30" s="461">
        <v>110.0</v>
      </c>
      <c r="I30" s="466">
        <v>20000.0</v>
      </c>
      <c r="J30" s="465" t="s">
        <v>508</v>
      </c>
      <c r="K30" s="467"/>
      <c r="L30" s="467"/>
    </row>
    <row r="31">
      <c r="A31" s="481" t="s">
        <v>572</v>
      </c>
      <c r="B31" s="460">
        <v>13900.0</v>
      </c>
      <c r="C31" s="473" t="s">
        <v>573</v>
      </c>
      <c r="D31" s="478" t="s">
        <v>548</v>
      </c>
      <c r="E31" s="463" t="s">
        <v>574</v>
      </c>
      <c r="F31" s="464" t="s">
        <v>507</v>
      </c>
      <c r="G31" s="461">
        <v>38.0</v>
      </c>
      <c r="H31" s="461">
        <v>120.0</v>
      </c>
      <c r="I31" s="466">
        <v>20000.0</v>
      </c>
      <c r="J31" s="465" t="s">
        <v>508</v>
      </c>
      <c r="K31" s="467"/>
      <c r="L31" s="467"/>
    </row>
    <row r="32">
      <c r="A32" s="481">
        <v>15.0</v>
      </c>
      <c r="B32" s="467">
        <v>15000.0</v>
      </c>
      <c r="C32" s="473" t="s">
        <v>575</v>
      </c>
      <c r="D32" s="478" t="s">
        <v>548</v>
      </c>
      <c r="E32" s="463">
        <v>160.0</v>
      </c>
      <c r="F32" s="478" t="s">
        <v>548</v>
      </c>
      <c r="G32" s="461">
        <v>40.0</v>
      </c>
      <c r="H32" s="461">
        <v>120.0</v>
      </c>
      <c r="I32" s="466">
        <v>20000.0</v>
      </c>
      <c r="J32" s="465" t="s">
        <v>508</v>
      </c>
      <c r="K32" s="467"/>
      <c r="L32" s="467"/>
    </row>
    <row r="33">
      <c r="A33" s="481" t="s">
        <v>576</v>
      </c>
      <c r="B33" s="467">
        <v>15000.0</v>
      </c>
      <c r="C33" s="473" t="s">
        <v>577</v>
      </c>
      <c r="D33" s="478" t="s">
        <v>548</v>
      </c>
      <c r="E33" s="463">
        <v>180.0</v>
      </c>
      <c r="F33" s="478" t="s">
        <v>548</v>
      </c>
      <c r="G33" s="465" t="s">
        <v>508</v>
      </c>
      <c r="H33" s="461">
        <v>130.0</v>
      </c>
      <c r="I33" s="466">
        <v>20000.0</v>
      </c>
      <c r="J33" s="465" t="s">
        <v>508</v>
      </c>
      <c r="K33" s="467"/>
      <c r="L33" s="467"/>
    </row>
    <row r="34">
      <c r="A34" s="481" t="s">
        <v>578</v>
      </c>
      <c r="B34" s="467">
        <v>15000.0</v>
      </c>
      <c r="C34" s="473" t="s">
        <v>575</v>
      </c>
      <c r="D34" s="478" t="s">
        <v>548</v>
      </c>
      <c r="E34" s="463">
        <v>170.0</v>
      </c>
      <c r="F34" s="478" t="s">
        <v>548</v>
      </c>
      <c r="G34" s="461">
        <v>40.0</v>
      </c>
      <c r="H34" s="461">
        <v>125.0</v>
      </c>
      <c r="I34" s="466">
        <v>20000.0</v>
      </c>
      <c r="J34" s="465" t="s">
        <v>508</v>
      </c>
      <c r="K34" s="467"/>
      <c r="L34" s="467"/>
    </row>
    <row r="35">
      <c r="A35" s="481" t="s">
        <v>579</v>
      </c>
      <c r="B35" s="467">
        <v>15000.0</v>
      </c>
      <c r="C35" s="473" t="s">
        <v>580</v>
      </c>
      <c r="D35" s="478" t="s">
        <v>548</v>
      </c>
      <c r="E35" s="463">
        <v>190.0</v>
      </c>
      <c r="F35" s="478" t="s">
        <v>548</v>
      </c>
      <c r="G35" s="465" t="s">
        <v>508</v>
      </c>
      <c r="H35" s="461">
        <v>135.0</v>
      </c>
      <c r="I35" s="466">
        <v>20000.0</v>
      </c>
      <c r="J35" s="465" t="s">
        <v>508</v>
      </c>
      <c r="K35" s="467"/>
      <c r="L35" s="467"/>
    </row>
    <row r="36">
      <c r="A36" s="481">
        <v>16.0</v>
      </c>
      <c r="B36" s="460">
        <v>20000.0</v>
      </c>
      <c r="C36" s="473" t="s">
        <v>573</v>
      </c>
      <c r="D36" s="478" t="s">
        <v>548</v>
      </c>
      <c r="E36" s="463">
        <v>170.0</v>
      </c>
      <c r="F36" s="478" t="s">
        <v>548</v>
      </c>
      <c r="G36" s="465" t="s">
        <v>508</v>
      </c>
      <c r="H36" s="465" t="s">
        <v>508</v>
      </c>
      <c r="I36" s="466">
        <v>25000.0</v>
      </c>
      <c r="J36" s="465" t="s">
        <v>508</v>
      </c>
      <c r="K36" s="467"/>
      <c r="L36" s="467"/>
    </row>
    <row r="37">
      <c r="A37" s="481" t="s">
        <v>581</v>
      </c>
      <c r="B37" s="460">
        <v>20000.0</v>
      </c>
      <c r="C37" s="473">
        <v>530.0</v>
      </c>
      <c r="D37" s="478" t="s">
        <v>548</v>
      </c>
      <c r="E37" s="463">
        <v>220.0</v>
      </c>
      <c r="F37" s="478" t="s">
        <v>548</v>
      </c>
      <c r="G37" s="465" t="s">
        <v>508</v>
      </c>
      <c r="H37" s="465" t="s">
        <v>508</v>
      </c>
      <c r="I37" s="466">
        <v>25000.0</v>
      </c>
      <c r="J37" s="465" t="s">
        <v>508</v>
      </c>
      <c r="K37" s="467"/>
      <c r="L37" s="467"/>
    </row>
    <row r="38">
      <c r="A38" s="481" t="s">
        <v>582</v>
      </c>
      <c r="B38" s="460">
        <v>20000.0</v>
      </c>
      <c r="C38" s="473">
        <v>500.0</v>
      </c>
      <c r="D38" s="478" t="s">
        <v>548</v>
      </c>
      <c r="E38" s="463">
        <v>180.0</v>
      </c>
      <c r="F38" s="478" t="s">
        <v>548</v>
      </c>
      <c r="G38" s="465" t="s">
        <v>508</v>
      </c>
      <c r="H38" s="465" t="s">
        <v>508</v>
      </c>
      <c r="I38" s="466">
        <v>25000.0</v>
      </c>
      <c r="J38" s="465" t="s">
        <v>508</v>
      </c>
      <c r="K38" s="467"/>
      <c r="L38" s="467"/>
    </row>
    <row r="39">
      <c r="A39" s="481" t="s">
        <v>583</v>
      </c>
      <c r="B39" s="460">
        <v>20000.0</v>
      </c>
      <c r="C39" s="473">
        <v>580.0</v>
      </c>
      <c r="D39" s="478" t="s">
        <v>548</v>
      </c>
      <c r="E39" s="463">
        <v>240.0</v>
      </c>
      <c r="F39" s="478" t="s">
        <v>548</v>
      </c>
      <c r="G39" s="465" t="s">
        <v>508</v>
      </c>
      <c r="H39" s="465" t="s">
        <v>508</v>
      </c>
      <c r="I39" s="466">
        <v>25000.0</v>
      </c>
      <c r="J39" s="465" t="s">
        <v>508</v>
      </c>
      <c r="K39" s="467"/>
      <c r="L39" s="467"/>
    </row>
    <row r="40">
      <c r="A40" s="482"/>
      <c r="C40" s="483"/>
      <c r="D40" s="483"/>
      <c r="E40" s="484"/>
      <c r="F40" s="483"/>
      <c r="G40" s="483"/>
      <c r="H40" s="483"/>
      <c r="I40" s="485"/>
      <c r="J40" s="486"/>
      <c r="K40" s="238"/>
      <c r="L40" s="238"/>
    </row>
    <row r="41">
      <c r="A41" s="482"/>
      <c r="C41" s="483"/>
      <c r="D41" s="483"/>
      <c r="E41" s="484"/>
      <c r="F41" s="483"/>
      <c r="G41" s="483"/>
      <c r="H41" s="483"/>
      <c r="I41" s="485"/>
      <c r="J41" s="486"/>
      <c r="K41" s="238"/>
      <c r="L41" s="238"/>
    </row>
    <row r="42">
      <c r="A42" s="482"/>
      <c r="C42" s="483"/>
      <c r="D42" s="483"/>
      <c r="E42" s="484"/>
      <c r="F42" s="483"/>
      <c r="G42" s="483"/>
      <c r="H42" s="483"/>
      <c r="I42" s="485"/>
      <c r="J42" s="486"/>
      <c r="K42" s="238"/>
      <c r="L42" s="238"/>
    </row>
    <row r="43">
      <c r="A43" s="482"/>
      <c r="C43" s="483"/>
      <c r="D43" s="483"/>
      <c r="E43" s="484"/>
      <c r="F43" s="483"/>
      <c r="G43" s="483"/>
      <c r="H43" s="483"/>
      <c r="I43" s="485"/>
      <c r="J43" s="486"/>
      <c r="K43" s="238"/>
      <c r="L43" s="238"/>
    </row>
    <row r="44">
      <c r="A44" s="482"/>
      <c r="C44" s="483"/>
      <c r="D44" s="483"/>
      <c r="E44" s="484"/>
      <c r="F44" s="483"/>
      <c r="G44" s="483"/>
      <c r="H44" s="483"/>
      <c r="I44" s="485"/>
      <c r="J44" s="486"/>
      <c r="K44" s="238"/>
      <c r="L44" s="238"/>
    </row>
    <row r="45">
      <c r="A45" s="482"/>
      <c r="C45" s="483"/>
      <c r="D45" s="483"/>
      <c r="E45" s="484"/>
      <c r="F45" s="483"/>
      <c r="G45" s="483"/>
      <c r="H45" s="483"/>
      <c r="I45" s="485"/>
      <c r="J45" s="486"/>
      <c r="K45" s="238"/>
      <c r="L45" s="238"/>
    </row>
    <row r="46">
      <c r="A46" s="482"/>
      <c r="C46" s="483"/>
      <c r="D46" s="483"/>
      <c r="E46" s="484"/>
      <c r="F46" s="483"/>
      <c r="G46" s="483"/>
      <c r="H46" s="483"/>
      <c r="I46" s="485"/>
      <c r="J46" s="486"/>
      <c r="K46" s="238"/>
      <c r="L46" s="238"/>
    </row>
    <row r="47">
      <c r="A47" s="482"/>
      <c r="C47" s="483"/>
      <c r="D47" s="483"/>
      <c r="E47" s="484"/>
      <c r="F47" s="483"/>
      <c r="G47" s="483"/>
      <c r="H47" s="483"/>
      <c r="I47" s="485"/>
      <c r="J47" s="486"/>
      <c r="K47" s="238"/>
      <c r="L47" s="238"/>
    </row>
    <row r="48">
      <c r="A48" s="482"/>
      <c r="C48" s="483"/>
      <c r="D48" s="483"/>
      <c r="E48" s="484"/>
      <c r="F48" s="483"/>
      <c r="G48" s="483"/>
      <c r="H48" s="483"/>
      <c r="I48" s="485"/>
      <c r="J48" s="486"/>
      <c r="K48" s="238"/>
      <c r="L48" s="238"/>
    </row>
    <row r="49">
      <c r="A49" s="482"/>
      <c r="C49" s="483"/>
      <c r="D49" s="483"/>
      <c r="E49" s="484"/>
      <c r="F49" s="483"/>
      <c r="G49" s="483"/>
      <c r="H49" s="483"/>
      <c r="I49" s="485"/>
      <c r="J49" s="486"/>
      <c r="K49" s="238"/>
      <c r="L49" s="238"/>
    </row>
    <row r="50">
      <c r="A50" s="482"/>
      <c r="C50" s="483"/>
      <c r="D50" s="483"/>
      <c r="E50" s="484"/>
      <c r="F50" s="483"/>
      <c r="G50" s="483"/>
      <c r="H50" s="483"/>
      <c r="I50" s="485"/>
      <c r="J50" s="486"/>
      <c r="K50" s="238"/>
      <c r="L50" s="238"/>
    </row>
    <row r="51">
      <c r="A51" s="482"/>
      <c r="C51" s="483"/>
      <c r="D51" s="483"/>
      <c r="E51" s="484"/>
      <c r="F51" s="483"/>
      <c r="G51" s="483"/>
      <c r="H51" s="483"/>
      <c r="I51" s="485"/>
      <c r="J51" s="486"/>
      <c r="K51" s="238"/>
      <c r="L51" s="238"/>
    </row>
    <row r="52">
      <c r="A52" s="482"/>
      <c r="C52" s="483"/>
      <c r="D52" s="483"/>
      <c r="E52" s="484"/>
      <c r="F52" s="483"/>
      <c r="G52" s="483"/>
      <c r="H52" s="483"/>
      <c r="I52" s="485"/>
      <c r="J52" s="486"/>
      <c r="K52" s="238"/>
      <c r="L52" s="238"/>
    </row>
    <row r="53">
      <c r="A53" s="482"/>
      <c r="C53" s="483"/>
      <c r="D53" s="483"/>
      <c r="E53" s="484"/>
      <c r="F53" s="483"/>
      <c r="G53" s="483"/>
      <c r="H53" s="483"/>
      <c r="I53" s="485"/>
      <c r="J53" s="486"/>
      <c r="K53" s="238"/>
      <c r="L53" s="238"/>
    </row>
    <row r="54">
      <c r="A54" s="482"/>
      <c r="C54" s="483"/>
      <c r="D54" s="483"/>
      <c r="E54" s="484"/>
      <c r="F54" s="483"/>
      <c r="G54" s="483"/>
      <c r="H54" s="483"/>
      <c r="I54" s="485"/>
      <c r="J54" s="486"/>
      <c r="K54" s="238"/>
      <c r="L54" s="238"/>
    </row>
    <row r="55">
      <c r="A55" s="482"/>
      <c r="C55" s="483"/>
      <c r="D55" s="483"/>
      <c r="E55" s="484"/>
      <c r="F55" s="483"/>
      <c r="G55" s="483"/>
      <c r="H55" s="483"/>
      <c r="I55" s="485"/>
      <c r="J55" s="486"/>
      <c r="K55" s="238"/>
      <c r="L55" s="238"/>
    </row>
    <row r="56">
      <c r="A56" s="482"/>
      <c r="C56" s="483"/>
      <c r="D56" s="483"/>
      <c r="E56" s="484"/>
      <c r="F56" s="483"/>
      <c r="G56" s="483"/>
      <c r="H56" s="483"/>
      <c r="I56" s="485"/>
      <c r="J56" s="486"/>
      <c r="K56" s="238"/>
      <c r="L56" s="238"/>
    </row>
    <row r="57">
      <c r="A57" s="482"/>
      <c r="C57" s="483"/>
      <c r="D57" s="483"/>
      <c r="E57" s="484"/>
      <c r="F57" s="483"/>
      <c r="G57" s="483"/>
      <c r="H57" s="483"/>
      <c r="I57" s="485"/>
      <c r="J57" s="486"/>
      <c r="K57" s="238"/>
      <c r="L57" s="238"/>
    </row>
    <row r="58">
      <c r="A58" s="482"/>
      <c r="C58" s="483"/>
      <c r="D58" s="483"/>
      <c r="E58" s="484"/>
      <c r="F58" s="483"/>
      <c r="G58" s="483"/>
      <c r="H58" s="483"/>
      <c r="I58" s="485"/>
      <c r="J58" s="486"/>
      <c r="K58" s="238"/>
      <c r="L58" s="238"/>
    </row>
    <row r="59">
      <c r="A59" s="482"/>
      <c r="C59" s="483"/>
      <c r="D59" s="483"/>
      <c r="E59" s="484"/>
      <c r="F59" s="483"/>
      <c r="G59" s="483"/>
      <c r="H59" s="483"/>
      <c r="I59" s="485"/>
      <c r="J59" s="486"/>
      <c r="K59" s="238"/>
      <c r="L59" s="238"/>
    </row>
    <row r="60">
      <c r="A60" s="482"/>
      <c r="C60" s="483"/>
      <c r="D60" s="483"/>
      <c r="E60" s="484"/>
      <c r="F60" s="483"/>
      <c r="G60" s="483"/>
      <c r="H60" s="483"/>
      <c r="I60" s="485"/>
      <c r="J60" s="486"/>
      <c r="K60" s="238"/>
      <c r="L60" s="238"/>
    </row>
    <row r="61">
      <c r="A61" s="482"/>
      <c r="C61" s="483"/>
      <c r="D61" s="483"/>
      <c r="E61" s="484"/>
      <c r="F61" s="483"/>
      <c r="G61" s="483"/>
      <c r="H61" s="483"/>
      <c r="I61" s="485"/>
      <c r="J61" s="486"/>
      <c r="K61" s="238"/>
      <c r="L61" s="238"/>
    </row>
    <row r="62">
      <c r="A62" s="482"/>
      <c r="C62" s="483"/>
      <c r="D62" s="483"/>
      <c r="E62" s="484"/>
      <c r="F62" s="483"/>
      <c r="G62" s="483"/>
      <c r="H62" s="483"/>
      <c r="I62" s="485"/>
      <c r="J62" s="486"/>
      <c r="K62" s="238"/>
      <c r="L62" s="238"/>
    </row>
    <row r="63">
      <c r="A63" s="482"/>
      <c r="C63" s="483"/>
      <c r="D63" s="483"/>
      <c r="E63" s="484"/>
      <c r="F63" s="483"/>
      <c r="G63" s="483"/>
      <c r="H63" s="483"/>
      <c r="I63" s="485"/>
      <c r="J63" s="486"/>
      <c r="K63" s="238"/>
      <c r="L63" s="238"/>
    </row>
    <row r="64">
      <c r="A64" s="482"/>
      <c r="C64" s="483"/>
      <c r="D64" s="483"/>
      <c r="E64" s="484"/>
      <c r="F64" s="483"/>
      <c r="G64" s="483"/>
      <c r="H64" s="483"/>
      <c r="I64" s="485"/>
      <c r="J64" s="486"/>
      <c r="K64" s="238"/>
      <c r="L64" s="238"/>
    </row>
    <row r="65">
      <c r="A65" s="482"/>
      <c r="C65" s="483"/>
      <c r="D65" s="483"/>
      <c r="E65" s="484"/>
      <c r="F65" s="483"/>
      <c r="G65" s="483"/>
      <c r="H65" s="483"/>
      <c r="I65" s="485"/>
      <c r="J65" s="486"/>
      <c r="K65" s="238"/>
      <c r="L65" s="238"/>
    </row>
    <row r="66">
      <c r="A66" s="482"/>
      <c r="C66" s="483"/>
      <c r="D66" s="483"/>
      <c r="E66" s="484"/>
      <c r="F66" s="483"/>
      <c r="G66" s="483"/>
      <c r="H66" s="483"/>
      <c r="I66" s="485"/>
      <c r="J66" s="486"/>
      <c r="K66" s="238"/>
      <c r="L66" s="238"/>
    </row>
    <row r="67">
      <c r="A67" s="482"/>
      <c r="C67" s="483"/>
      <c r="D67" s="483"/>
      <c r="E67" s="484"/>
      <c r="F67" s="483"/>
      <c r="G67" s="483"/>
      <c r="H67" s="483"/>
      <c r="I67" s="485"/>
      <c r="J67" s="486"/>
      <c r="K67" s="238"/>
      <c r="L67" s="238"/>
    </row>
    <row r="68">
      <c r="A68" s="482"/>
      <c r="C68" s="483"/>
      <c r="D68" s="483"/>
      <c r="E68" s="484"/>
      <c r="F68" s="483"/>
      <c r="G68" s="483"/>
      <c r="H68" s="483"/>
      <c r="I68" s="485"/>
      <c r="J68" s="486"/>
      <c r="K68" s="238"/>
      <c r="L68" s="238"/>
    </row>
    <row r="69">
      <c r="A69" s="482"/>
      <c r="C69" s="483"/>
      <c r="D69" s="483"/>
      <c r="E69" s="484"/>
      <c r="F69" s="483"/>
      <c r="G69" s="483"/>
      <c r="H69" s="483"/>
      <c r="I69" s="485"/>
      <c r="J69" s="486"/>
      <c r="K69" s="238"/>
      <c r="L69" s="238"/>
    </row>
    <row r="70">
      <c r="A70" s="482"/>
      <c r="C70" s="483"/>
      <c r="D70" s="483"/>
      <c r="E70" s="484"/>
      <c r="F70" s="483"/>
      <c r="G70" s="483"/>
      <c r="H70" s="483"/>
      <c r="I70" s="485"/>
      <c r="J70" s="486"/>
      <c r="K70" s="238"/>
      <c r="L70" s="238"/>
    </row>
    <row r="71">
      <c r="A71" s="482"/>
      <c r="C71" s="483"/>
      <c r="D71" s="483"/>
      <c r="E71" s="484"/>
      <c r="F71" s="483"/>
      <c r="G71" s="483"/>
      <c r="H71" s="483"/>
      <c r="I71" s="485"/>
      <c r="J71" s="486"/>
      <c r="K71" s="238"/>
      <c r="L71" s="238"/>
    </row>
    <row r="72">
      <c r="A72" s="482"/>
      <c r="C72" s="483"/>
      <c r="D72" s="483"/>
      <c r="E72" s="484"/>
      <c r="F72" s="483"/>
      <c r="G72" s="483"/>
      <c r="H72" s="483"/>
      <c r="I72" s="485"/>
      <c r="J72" s="486"/>
      <c r="K72" s="238"/>
      <c r="L72" s="238"/>
    </row>
    <row r="73">
      <c r="A73" s="482"/>
      <c r="C73" s="483"/>
      <c r="D73" s="483"/>
      <c r="E73" s="484"/>
      <c r="F73" s="483"/>
      <c r="G73" s="483"/>
      <c r="H73" s="483"/>
      <c r="I73" s="485"/>
      <c r="J73" s="486"/>
      <c r="K73" s="238"/>
      <c r="L73" s="238"/>
    </row>
    <row r="74">
      <c r="A74" s="482"/>
      <c r="C74" s="483"/>
      <c r="D74" s="483"/>
      <c r="E74" s="484"/>
      <c r="F74" s="483"/>
      <c r="G74" s="483"/>
      <c r="H74" s="483"/>
      <c r="I74" s="485"/>
      <c r="J74" s="486"/>
      <c r="K74" s="238"/>
      <c r="L74" s="238"/>
    </row>
    <row r="75">
      <c r="A75" s="482"/>
      <c r="C75" s="483"/>
      <c r="D75" s="483"/>
      <c r="E75" s="484"/>
      <c r="F75" s="483"/>
      <c r="G75" s="483"/>
      <c r="H75" s="483"/>
      <c r="I75" s="485"/>
      <c r="J75" s="486"/>
      <c r="K75" s="238"/>
      <c r="L75" s="238"/>
    </row>
    <row r="76">
      <c r="A76" s="482"/>
      <c r="C76" s="483"/>
      <c r="D76" s="483"/>
      <c r="E76" s="484"/>
      <c r="F76" s="483"/>
      <c r="G76" s="483"/>
      <c r="H76" s="483"/>
      <c r="I76" s="485"/>
      <c r="J76" s="486"/>
      <c r="K76" s="238"/>
      <c r="L76" s="238"/>
    </row>
    <row r="77">
      <c r="A77" s="482"/>
      <c r="C77" s="483"/>
      <c r="D77" s="483"/>
      <c r="E77" s="484"/>
      <c r="F77" s="483"/>
      <c r="G77" s="483"/>
      <c r="H77" s="483"/>
      <c r="I77" s="485"/>
      <c r="J77" s="486"/>
      <c r="K77" s="238"/>
      <c r="L77" s="238"/>
    </row>
    <row r="78">
      <c r="A78" s="482"/>
      <c r="C78" s="483"/>
      <c r="D78" s="483"/>
      <c r="E78" s="484"/>
      <c r="F78" s="483"/>
      <c r="G78" s="483"/>
      <c r="H78" s="483"/>
      <c r="I78" s="485"/>
      <c r="J78" s="486"/>
      <c r="K78" s="238"/>
      <c r="L78" s="238"/>
    </row>
    <row r="79">
      <c r="A79" s="482"/>
      <c r="C79" s="483"/>
      <c r="D79" s="483"/>
      <c r="E79" s="484"/>
      <c r="F79" s="483"/>
      <c r="G79" s="483"/>
      <c r="H79" s="483"/>
      <c r="I79" s="485"/>
      <c r="J79" s="486"/>
      <c r="K79" s="238"/>
      <c r="L79" s="238"/>
    </row>
    <row r="80">
      <c r="A80" s="482"/>
      <c r="C80" s="483"/>
      <c r="D80" s="483"/>
      <c r="E80" s="484"/>
      <c r="F80" s="483"/>
      <c r="G80" s="483"/>
      <c r="H80" s="483"/>
      <c r="I80" s="485"/>
      <c r="J80" s="486"/>
      <c r="K80" s="238"/>
      <c r="L80" s="238"/>
    </row>
    <row r="81">
      <c r="A81" s="482"/>
      <c r="C81" s="483"/>
      <c r="D81" s="483"/>
      <c r="E81" s="484"/>
      <c r="F81" s="483"/>
      <c r="G81" s="483"/>
      <c r="H81" s="483"/>
      <c r="I81" s="485"/>
      <c r="J81" s="486"/>
      <c r="K81" s="238"/>
      <c r="L81" s="238"/>
    </row>
    <row r="82">
      <c r="A82" s="482"/>
      <c r="C82" s="483"/>
      <c r="D82" s="483"/>
      <c r="E82" s="484"/>
      <c r="F82" s="483"/>
      <c r="G82" s="483"/>
      <c r="H82" s="483"/>
      <c r="I82" s="485"/>
      <c r="J82" s="486"/>
      <c r="K82" s="238"/>
      <c r="L82" s="238"/>
    </row>
    <row r="83">
      <c r="A83" s="482"/>
      <c r="C83" s="483"/>
      <c r="D83" s="483"/>
      <c r="E83" s="484"/>
      <c r="F83" s="483"/>
      <c r="G83" s="483"/>
      <c r="H83" s="483"/>
      <c r="I83" s="485"/>
      <c r="J83" s="486"/>
      <c r="K83" s="238"/>
      <c r="L83" s="238"/>
    </row>
    <row r="84">
      <c r="A84" s="482"/>
      <c r="C84" s="483"/>
      <c r="D84" s="483"/>
      <c r="E84" s="484"/>
      <c r="F84" s="483"/>
      <c r="G84" s="483"/>
      <c r="H84" s="483"/>
      <c r="I84" s="485"/>
      <c r="J84" s="486"/>
      <c r="K84" s="238"/>
      <c r="L84" s="238"/>
    </row>
    <row r="85">
      <c r="A85" s="482"/>
      <c r="C85" s="483"/>
      <c r="D85" s="483"/>
      <c r="E85" s="484"/>
      <c r="F85" s="483"/>
      <c r="G85" s="483"/>
      <c r="H85" s="483"/>
      <c r="I85" s="485"/>
      <c r="J85" s="486"/>
      <c r="K85" s="238"/>
      <c r="L85" s="238"/>
    </row>
    <row r="86">
      <c r="A86" s="482"/>
      <c r="C86" s="483"/>
      <c r="D86" s="483"/>
      <c r="E86" s="484"/>
      <c r="F86" s="483"/>
      <c r="G86" s="483"/>
      <c r="H86" s="483"/>
      <c r="I86" s="485"/>
      <c r="J86" s="486"/>
      <c r="K86" s="238"/>
      <c r="L86" s="238"/>
    </row>
    <row r="87">
      <c r="A87" s="482"/>
      <c r="C87" s="483"/>
      <c r="D87" s="483"/>
      <c r="E87" s="484"/>
      <c r="F87" s="483"/>
      <c r="G87" s="483"/>
      <c r="H87" s="483"/>
      <c r="I87" s="485"/>
      <c r="J87" s="486"/>
      <c r="K87" s="238"/>
      <c r="L87" s="238"/>
    </row>
    <row r="88">
      <c r="A88" s="482"/>
      <c r="C88" s="483"/>
      <c r="D88" s="483"/>
      <c r="E88" s="484"/>
      <c r="F88" s="483"/>
      <c r="G88" s="483"/>
      <c r="H88" s="483"/>
      <c r="I88" s="485"/>
      <c r="J88" s="486"/>
      <c r="K88" s="238"/>
      <c r="L88" s="238"/>
    </row>
    <row r="89">
      <c r="A89" s="482"/>
      <c r="C89" s="483"/>
      <c r="D89" s="483"/>
      <c r="E89" s="484"/>
      <c r="F89" s="483"/>
      <c r="G89" s="483"/>
      <c r="H89" s="483"/>
      <c r="I89" s="485"/>
      <c r="J89" s="486"/>
      <c r="K89" s="238"/>
      <c r="L89" s="238"/>
    </row>
    <row r="90">
      <c r="A90" s="482"/>
      <c r="C90" s="483"/>
      <c r="D90" s="483"/>
      <c r="E90" s="484"/>
      <c r="F90" s="483"/>
      <c r="G90" s="483"/>
      <c r="H90" s="483"/>
      <c r="I90" s="485"/>
      <c r="J90" s="486"/>
      <c r="K90" s="238"/>
      <c r="L90" s="238"/>
    </row>
    <row r="91">
      <c r="A91" s="482"/>
      <c r="C91" s="483"/>
      <c r="D91" s="483"/>
      <c r="E91" s="484"/>
      <c r="F91" s="483"/>
      <c r="G91" s="483"/>
      <c r="H91" s="483"/>
      <c r="I91" s="485"/>
      <c r="J91" s="486"/>
      <c r="K91" s="238"/>
      <c r="L91" s="238"/>
    </row>
    <row r="92">
      <c r="A92" s="482"/>
      <c r="C92" s="483"/>
      <c r="D92" s="483"/>
      <c r="E92" s="484"/>
      <c r="F92" s="483"/>
      <c r="G92" s="483"/>
      <c r="H92" s="483"/>
      <c r="I92" s="485"/>
      <c r="J92" s="486"/>
      <c r="K92" s="238"/>
      <c r="L92" s="238"/>
    </row>
    <row r="93">
      <c r="A93" s="482"/>
      <c r="C93" s="483"/>
      <c r="D93" s="483"/>
      <c r="E93" s="484"/>
      <c r="F93" s="483"/>
      <c r="G93" s="483"/>
      <c r="H93" s="483"/>
      <c r="I93" s="485"/>
      <c r="J93" s="486"/>
      <c r="K93" s="238"/>
      <c r="L93" s="238"/>
    </row>
    <row r="94">
      <c r="A94" s="482"/>
      <c r="C94" s="483"/>
      <c r="D94" s="483"/>
      <c r="E94" s="484"/>
      <c r="F94" s="483"/>
      <c r="G94" s="483"/>
      <c r="H94" s="483"/>
      <c r="I94" s="485"/>
      <c r="J94" s="486"/>
      <c r="K94" s="238"/>
      <c r="L94" s="238"/>
    </row>
    <row r="95">
      <c r="A95" s="482"/>
      <c r="C95" s="483"/>
      <c r="D95" s="483"/>
      <c r="E95" s="484"/>
      <c r="F95" s="483"/>
      <c r="G95" s="483"/>
      <c r="H95" s="483"/>
      <c r="I95" s="485"/>
      <c r="J95" s="486"/>
      <c r="K95" s="238"/>
      <c r="L95" s="238"/>
    </row>
    <row r="96">
      <c r="A96" s="482"/>
      <c r="C96" s="483"/>
      <c r="D96" s="483"/>
      <c r="E96" s="484"/>
      <c r="F96" s="483"/>
      <c r="G96" s="483"/>
      <c r="H96" s="483"/>
      <c r="I96" s="485"/>
      <c r="J96" s="486"/>
      <c r="K96" s="238"/>
      <c r="L96" s="238"/>
    </row>
    <row r="97">
      <c r="A97" s="482"/>
      <c r="C97" s="483"/>
      <c r="D97" s="483"/>
      <c r="E97" s="484"/>
      <c r="F97" s="483"/>
      <c r="G97" s="483"/>
      <c r="H97" s="483"/>
      <c r="I97" s="485"/>
      <c r="J97" s="486"/>
      <c r="K97" s="238"/>
      <c r="L97" s="238"/>
    </row>
    <row r="98">
      <c r="A98" s="482"/>
      <c r="C98" s="483"/>
      <c r="D98" s="483"/>
      <c r="E98" s="484"/>
      <c r="F98" s="483"/>
      <c r="G98" s="483"/>
      <c r="H98" s="483"/>
      <c r="I98" s="485"/>
      <c r="J98" s="486"/>
      <c r="K98" s="238"/>
      <c r="L98" s="238"/>
    </row>
    <row r="99">
      <c r="A99" s="482"/>
      <c r="C99" s="483"/>
      <c r="D99" s="483"/>
      <c r="E99" s="484"/>
      <c r="F99" s="483"/>
      <c r="G99" s="483"/>
      <c r="H99" s="483"/>
      <c r="I99" s="485"/>
      <c r="J99" s="486"/>
      <c r="K99" s="238"/>
      <c r="L99" s="238"/>
    </row>
    <row r="100">
      <c r="A100" s="482"/>
      <c r="C100" s="483"/>
      <c r="D100" s="483"/>
      <c r="E100" s="484"/>
      <c r="F100" s="483"/>
      <c r="G100" s="483"/>
      <c r="H100" s="483"/>
      <c r="I100" s="485"/>
      <c r="J100" s="486"/>
      <c r="K100" s="238"/>
      <c r="L100" s="238"/>
    </row>
    <row r="101">
      <c r="A101" s="482"/>
      <c r="C101" s="483"/>
      <c r="D101" s="483"/>
      <c r="E101" s="484"/>
      <c r="F101" s="483"/>
      <c r="G101" s="483"/>
      <c r="H101" s="483"/>
      <c r="I101" s="485"/>
      <c r="J101" s="486"/>
      <c r="K101" s="238"/>
      <c r="L101" s="238"/>
    </row>
    <row r="102">
      <c r="A102" s="482"/>
      <c r="C102" s="483"/>
      <c r="D102" s="483"/>
      <c r="E102" s="484"/>
      <c r="F102" s="483"/>
      <c r="G102" s="483"/>
      <c r="H102" s="483"/>
      <c r="I102" s="485"/>
      <c r="J102" s="486"/>
      <c r="K102" s="238"/>
      <c r="L102" s="238"/>
    </row>
    <row r="103">
      <c r="A103" s="482"/>
      <c r="C103" s="483"/>
      <c r="D103" s="483"/>
      <c r="E103" s="484"/>
      <c r="F103" s="483"/>
      <c r="G103" s="483"/>
      <c r="H103" s="483"/>
      <c r="I103" s="485"/>
      <c r="J103" s="486"/>
      <c r="K103" s="238"/>
      <c r="L103" s="238"/>
    </row>
    <row r="104">
      <c r="A104" s="482"/>
      <c r="C104" s="483"/>
      <c r="D104" s="483"/>
      <c r="E104" s="484"/>
      <c r="F104" s="483"/>
      <c r="G104" s="483"/>
      <c r="H104" s="483"/>
      <c r="I104" s="485"/>
      <c r="J104" s="486"/>
      <c r="K104" s="238"/>
      <c r="L104" s="238"/>
    </row>
    <row r="105">
      <c r="A105" s="482"/>
      <c r="C105" s="483"/>
      <c r="D105" s="483"/>
      <c r="E105" s="484"/>
      <c r="F105" s="483"/>
      <c r="G105" s="483"/>
      <c r="H105" s="483"/>
      <c r="I105" s="485"/>
      <c r="J105" s="486"/>
      <c r="K105" s="238"/>
      <c r="L105" s="238"/>
    </row>
    <row r="106">
      <c r="A106" s="482"/>
      <c r="C106" s="483"/>
      <c r="D106" s="483"/>
      <c r="E106" s="484"/>
      <c r="F106" s="483"/>
      <c r="G106" s="483"/>
      <c r="H106" s="483"/>
      <c r="I106" s="485"/>
      <c r="J106" s="486"/>
      <c r="K106" s="238"/>
      <c r="L106" s="238"/>
    </row>
    <row r="107">
      <c r="A107" s="482"/>
      <c r="C107" s="483"/>
      <c r="D107" s="483"/>
      <c r="E107" s="484"/>
      <c r="F107" s="483"/>
      <c r="G107" s="483"/>
      <c r="H107" s="483"/>
      <c r="I107" s="485"/>
      <c r="J107" s="486"/>
      <c r="K107" s="238"/>
      <c r="L107" s="238"/>
    </row>
    <row r="108">
      <c r="A108" s="482"/>
      <c r="C108" s="483"/>
      <c r="D108" s="483"/>
      <c r="E108" s="484"/>
      <c r="F108" s="483"/>
      <c r="G108" s="483"/>
      <c r="H108" s="483"/>
      <c r="I108" s="485"/>
      <c r="J108" s="486"/>
      <c r="K108" s="238"/>
      <c r="L108" s="238"/>
    </row>
    <row r="109">
      <c r="A109" s="482"/>
      <c r="C109" s="483"/>
      <c r="D109" s="483"/>
      <c r="E109" s="484"/>
      <c r="F109" s="483"/>
      <c r="G109" s="483"/>
      <c r="H109" s="483"/>
      <c r="I109" s="485"/>
      <c r="J109" s="486"/>
      <c r="K109" s="238"/>
      <c r="L109" s="238"/>
    </row>
    <row r="110">
      <c r="A110" s="482"/>
      <c r="C110" s="483"/>
      <c r="D110" s="483"/>
      <c r="E110" s="484"/>
      <c r="F110" s="483"/>
      <c r="G110" s="483"/>
      <c r="H110" s="483"/>
      <c r="I110" s="485"/>
      <c r="J110" s="486"/>
      <c r="K110" s="238"/>
      <c r="L110" s="238"/>
    </row>
    <row r="111">
      <c r="A111" s="482"/>
      <c r="C111" s="483"/>
      <c r="D111" s="483"/>
      <c r="E111" s="484"/>
      <c r="F111" s="483"/>
      <c r="G111" s="483"/>
      <c r="H111" s="483"/>
      <c r="I111" s="485"/>
      <c r="J111" s="486"/>
      <c r="K111" s="238"/>
      <c r="L111" s="238"/>
    </row>
    <row r="112">
      <c r="A112" s="482"/>
      <c r="C112" s="483"/>
      <c r="D112" s="483"/>
      <c r="E112" s="484"/>
      <c r="F112" s="483"/>
      <c r="G112" s="483"/>
      <c r="H112" s="483"/>
      <c r="I112" s="485"/>
      <c r="J112" s="486"/>
      <c r="K112" s="238"/>
      <c r="L112" s="238"/>
    </row>
    <row r="113">
      <c r="A113" s="482"/>
      <c r="C113" s="483"/>
      <c r="D113" s="483"/>
      <c r="E113" s="484"/>
      <c r="F113" s="483"/>
      <c r="G113" s="483"/>
      <c r="H113" s="483"/>
      <c r="I113" s="485"/>
      <c r="J113" s="486"/>
      <c r="K113" s="238"/>
      <c r="L113" s="238"/>
    </row>
    <row r="114">
      <c r="A114" s="482"/>
      <c r="C114" s="483"/>
      <c r="D114" s="483"/>
      <c r="E114" s="484"/>
      <c r="F114" s="483"/>
      <c r="G114" s="483"/>
      <c r="H114" s="483"/>
      <c r="I114" s="485"/>
      <c r="J114" s="486"/>
      <c r="K114" s="238"/>
      <c r="L114" s="238"/>
    </row>
    <row r="115">
      <c r="A115" s="482"/>
      <c r="C115" s="483"/>
      <c r="D115" s="483"/>
      <c r="E115" s="484"/>
      <c r="F115" s="483"/>
      <c r="G115" s="483"/>
      <c r="H115" s="483"/>
      <c r="I115" s="485"/>
      <c r="J115" s="486"/>
      <c r="K115" s="238"/>
      <c r="L115" s="238"/>
    </row>
    <row r="116">
      <c r="A116" s="482"/>
      <c r="C116" s="483"/>
      <c r="D116" s="483"/>
      <c r="E116" s="484"/>
      <c r="F116" s="483"/>
      <c r="G116" s="483"/>
      <c r="H116" s="483"/>
      <c r="I116" s="485"/>
      <c r="J116" s="486"/>
      <c r="K116" s="238"/>
      <c r="L116" s="238"/>
    </row>
    <row r="117">
      <c r="A117" s="482"/>
      <c r="C117" s="483"/>
      <c r="D117" s="483"/>
      <c r="E117" s="484"/>
      <c r="F117" s="483"/>
      <c r="G117" s="483"/>
      <c r="H117" s="483"/>
      <c r="I117" s="485"/>
      <c r="J117" s="486"/>
      <c r="K117" s="238"/>
      <c r="L117" s="238"/>
    </row>
    <row r="118">
      <c r="A118" s="482"/>
      <c r="C118" s="483"/>
      <c r="D118" s="483"/>
      <c r="E118" s="484"/>
      <c r="F118" s="483"/>
      <c r="G118" s="483"/>
      <c r="H118" s="483"/>
      <c r="I118" s="485"/>
      <c r="J118" s="486"/>
      <c r="K118" s="238"/>
      <c r="L118" s="238"/>
    </row>
    <row r="119">
      <c r="A119" s="482"/>
      <c r="C119" s="483"/>
      <c r="D119" s="483"/>
      <c r="E119" s="484"/>
      <c r="F119" s="483"/>
      <c r="G119" s="483"/>
      <c r="H119" s="483"/>
      <c r="I119" s="485"/>
      <c r="J119" s="486"/>
      <c r="K119" s="238"/>
      <c r="L119" s="238"/>
    </row>
    <row r="120">
      <c r="A120" s="482"/>
      <c r="C120" s="483"/>
      <c r="D120" s="483"/>
      <c r="E120" s="484"/>
      <c r="F120" s="483"/>
      <c r="G120" s="483"/>
      <c r="H120" s="483"/>
      <c r="I120" s="485"/>
      <c r="J120" s="486"/>
      <c r="K120" s="238"/>
      <c r="L120" s="238"/>
    </row>
    <row r="121">
      <c r="A121" s="482"/>
      <c r="C121" s="483"/>
      <c r="D121" s="483"/>
      <c r="E121" s="484"/>
      <c r="F121" s="483"/>
      <c r="G121" s="483"/>
      <c r="H121" s="483"/>
      <c r="I121" s="485"/>
      <c r="J121" s="486"/>
      <c r="K121" s="238"/>
      <c r="L121" s="238"/>
    </row>
    <row r="122">
      <c r="A122" s="482"/>
      <c r="C122" s="483"/>
      <c r="D122" s="483"/>
      <c r="E122" s="484"/>
      <c r="F122" s="483"/>
      <c r="G122" s="483"/>
      <c r="H122" s="483"/>
      <c r="I122" s="485"/>
      <c r="J122" s="486"/>
      <c r="K122" s="238"/>
      <c r="L122" s="238"/>
    </row>
    <row r="123">
      <c r="A123" s="482"/>
      <c r="C123" s="483"/>
      <c r="D123" s="483"/>
      <c r="E123" s="484"/>
      <c r="F123" s="483"/>
      <c r="G123" s="483"/>
      <c r="H123" s="483"/>
      <c r="I123" s="485"/>
      <c r="J123" s="486"/>
      <c r="K123" s="238"/>
      <c r="L123" s="238"/>
    </row>
    <row r="124">
      <c r="A124" s="482"/>
      <c r="C124" s="483"/>
      <c r="D124" s="483"/>
      <c r="E124" s="484"/>
      <c r="F124" s="483"/>
      <c r="G124" s="483"/>
      <c r="H124" s="483"/>
      <c r="I124" s="485"/>
      <c r="J124" s="486"/>
      <c r="K124" s="238"/>
      <c r="L124" s="238"/>
    </row>
    <row r="125">
      <c r="A125" s="482"/>
      <c r="C125" s="483"/>
      <c r="D125" s="483"/>
      <c r="E125" s="484"/>
      <c r="F125" s="483"/>
      <c r="G125" s="483"/>
      <c r="H125" s="483"/>
      <c r="I125" s="485"/>
      <c r="J125" s="486"/>
      <c r="K125" s="238"/>
      <c r="L125" s="238"/>
    </row>
    <row r="126">
      <c r="A126" s="482"/>
      <c r="C126" s="483"/>
      <c r="D126" s="483"/>
      <c r="E126" s="484"/>
      <c r="F126" s="483"/>
      <c r="G126" s="483"/>
      <c r="H126" s="483"/>
      <c r="I126" s="485"/>
      <c r="J126" s="486"/>
      <c r="K126" s="238"/>
      <c r="L126" s="238"/>
    </row>
    <row r="127">
      <c r="A127" s="482"/>
      <c r="C127" s="483"/>
      <c r="D127" s="483"/>
      <c r="E127" s="484"/>
      <c r="F127" s="483"/>
      <c r="G127" s="483"/>
      <c r="H127" s="483"/>
      <c r="I127" s="485"/>
      <c r="J127" s="486"/>
      <c r="K127" s="238"/>
      <c r="L127" s="238"/>
    </row>
    <row r="128">
      <c r="A128" s="482"/>
      <c r="C128" s="483"/>
      <c r="D128" s="483"/>
      <c r="E128" s="484"/>
      <c r="F128" s="483"/>
      <c r="G128" s="483"/>
      <c r="H128" s="483"/>
      <c r="I128" s="485"/>
      <c r="J128" s="486"/>
      <c r="K128" s="238"/>
      <c r="L128" s="238"/>
    </row>
    <row r="129">
      <c r="A129" s="482"/>
      <c r="C129" s="483"/>
      <c r="D129" s="483"/>
      <c r="E129" s="484"/>
      <c r="F129" s="483"/>
      <c r="G129" s="483"/>
      <c r="H129" s="483"/>
      <c r="I129" s="485"/>
      <c r="J129" s="486"/>
      <c r="K129" s="238"/>
      <c r="L129" s="238"/>
    </row>
    <row r="130">
      <c r="A130" s="482"/>
      <c r="C130" s="483"/>
      <c r="D130" s="483"/>
      <c r="E130" s="484"/>
      <c r="F130" s="483"/>
      <c r="G130" s="483"/>
      <c r="H130" s="483"/>
      <c r="I130" s="485"/>
      <c r="J130" s="486"/>
      <c r="K130" s="238"/>
      <c r="L130" s="238"/>
    </row>
    <row r="131">
      <c r="A131" s="482"/>
      <c r="C131" s="483"/>
      <c r="D131" s="483"/>
      <c r="E131" s="484"/>
      <c r="F131" s="483"/>
      <c r="G131" s="483"/>
      <c r="H131" s="483"/>
      <c r="I131" s="485"/>
      <c r="J131" s="486"/>
      <c r="K131" s="238"/>
      <c r="L131" s="238"/>
    </row>
    <row r="132">
      <c r="A132" s="482"/>
      <c r="C132" s="483"/>
      <c r="D132" s="483"/>
      <c r="E132" s="484"/>
      <c r="F132" s="483"/>
      <c r="G132" s="483"/>
      <c r="H132" s="483"/>
      <c r="I132" s="485"/>
      <c r="J132" s="486"/>
      <c r="K132" s="238"/>
      <c r="L132" s="238"/>
    </row>
    <row r="133">
      <c r="A133" s="482"/>
      <c r="C133" s="483"/>
      <c r="D133" s="483"/>
      <c r="E133" s="484"/>
      <c r="F133" s="483"/>
      <c r="G133" s="483"/>
      <c r="H133" s="483"/>
      <c r="I133" s="485"/>
      <c r="J133" s="486"/>
      <c r="K133" s="238"/>
      <c r="L133" s="238"/>
    </row>
    <row r="134">
      <c r="A134" s="482"/>
      <c r="C134" s="483"/>
      <c r="D134" s="483"/>
      <c r="E134" s="484"/>
      <c r="F134" s="483"/>
      <c r="G134" s="483"/>
      <c r="H134" s="483"/>
      <c r="I134" s="485"/>
      <c r="J134" s="486"/>
      <c r="K134" s="238"/>
      <c r="L134" s="238"/>
    </row>
    <row r="135">
      <c r="A135" s="482"/>
      <c r="C135" s="483"/>
      <c r="D135" s="483"/>
      <c r="E135" s="484"/>
      <c r="F135" s="483"/>
      <c r="G135" s="483"/>
      <c r="H135" s="483"/>
      <c r="I135" s="485"/>
      <c r="J135" s="486"/>
      <c r="K135" s="238"/>
      <c r="L135" s="238"/>
    </row>
    <row r="136">
      <c r="A136" s="482"/>
      <c r="C136" s="483"/>
      <c r="D136" s="483"/>
      <c r="E136" s="484"/>
      <c r="F136" s="483"/>
      <c r="G136" s="483"/>
      <c r="H136" s="483"/>
      <c r="I136" s="485"/>
      <c r="J136" s="486"/>
      <c r="K136" s="238"/>
      <c r="L136" s="238"/>
    </row>
    <row r="137">
      <c r="A137" s="482"/>
      <c r="C137" s="483"/>
      <c r="D137" s="483"/>
      <c r="E137" s="484"/>
      <c r="F137" s="483"/>
      <c r="G137" s="483"/>
      <c r="H137" s="483"/>
      <c r="I137" s="485"/>
      <c r="J137" s="486"/>
      <c r="K137" s="238"/>
      <c r="L137" s="238"/>
    </row>
    <row r="138">
      <c r="A138" s="482"/>
      <c r="C138" s="483"/>
      <c r="D138" s="483"/>
      <c r="E138" s="484"/>
      <c r="F138" s="483"/>
      <c r="G138" s="483"/>
      <c r="H138" s="483"/>
      <c r="I138" s="485"/>
      <c r="J138" s="486"/>
      <c r="K138" s="238"/>
      <c r="L138" s="238"/>
    </row>
    <row r="139">
      <c r="A139" s="482"/>
      <c r="C139" s="483"/>
      <c r="D139" s="483"/>
      <c r="E139" s="484"/>
      <c r="F139" s="483"/>
      <c r="G139" s="483"/>
      <c r="H139" s="483"/>
      <c r="I139" s="485"/>
      <c r="J139" s="486"/>
      <c r="K139" s="238"/>
      <c r="L139" s="238"/>
    </row>
    <row r="140">
      <c r="A140" s="482"/>
      <c r="C140" s="483"/>
      <c r="D140" s="483"/>
      <c r="E140" s="484"/>
      <c r="F140" s="483"/>
      <c r="G140" s="483"/>
      <c r="H140" s="483"/>
      <c r="I140" s="485"/>
      <c r="J140" s="486"/>
      <c r="K140" s="238"/>
      <c r="L140" s="238"/>
    </row>
    <row r="141">
      <c r="A141" s="482"/>
      <c r="C141" s="483"/>
      <c r="D141" s="483"/>
      <c r="E141" s="484"/>
      <c r="F141" s="483"/>
      <c r="G141" s="483"/>
      <c r="H141" s="483"/>
      <c r="I141" s="485"/>
      <c r="J141" s="486"/>
      <c r="K141" s="238"/>
      <c r="L141" s="238"/>
    </row>
    <row r="142">
      <c r="A142" s="482"/>
      <c r="C142" s="483"/>
      <c r="D142" s="483"/>
      <c r="E142" s="484"/>
      <c r="F142" s="483"/>
      <c r="G142" s="483"/>
      <c r="H142" s="483"/>
      <c r="I142" s="485"/>
      <c r="J142" s="486"/>
      <c r="K142" s="238"/>
      <c r="L142" s="238"/>
    </row>
    <row r="143">
      <c r="A143" s="482"/>
      <c r="C143" s="483"/>
      <c r="D143" s="483"/>
      <c r="E143" s="484"/>
      <c r="F143" s="483"/>
      <c r="G143" s="483"/>
      <c r="H143" s="483"/>
      <c r="I143" s="485"/>
      <c r="J143" s="486"/>
      <c r="K143" s="238"/>
      <c r="L143" s="238"/>
    </row>
    <row r="144">
      <c r="A144" s="482"/>
      <c r="C144" s="483"/>
      <c r="D144" s="483"/>
      <c r="E144" s="484"/>
      <c r="F144" s="483"/>
      <c r="G144" s="483"/>
      <c r="H144" s="483"/>
      <c r="I144" s="485"/>
      <c r="J144" s="486"/>
      <c r="K144" s="238"/>
      <c r="L144" s="238"/>
    </row>
    <row r="145">
      <c r="A145" s="482"/>
      <c r="C145" s="483"/>
      <c r="D145" s="483"/>
      <c r="E145" s="484"/>
      <c r="F145" s="483"/>
      <c r="G145" s="483"/>
      <c r="H145" s="483"/>
      <c r="I145" s="485"/>
      <c r="J145" s="486"/>
      <c r="K145" s="238"/>
      <c r="L145" s="238"/>
    </row>
    <row r="146">
      <c r="A146" s="482"/>
      <c r="C146" s="483"/>
      <c r="D146" s="483"/>
      <c r="E146" s="484"/>
      <c r="F146" s="483"/>
      <c r="G146" s="483"/>
      <c r="H146" s="483"/>
      <c r="I146" s="485"/>
      <c r="J146" s="486"/>
      <c r="K146" s="238"/>
      <c r="L146" s="238"/>
    </row>
    <row r="147">
      <c r="A147" s="482"/>
      <c r="C147" s="483"/>
      <c r="D147" s="483"/>
      <c r="E147" s="484"/>
      <c r="F147" s="483"/>
      <c r="G147" s="483"/>
      <c r="H147" s="483"/>
      <c r="I147" s="485"/>
      <c r="J147" s="486"/>
      <c r="K147" s="238"/>
      <c r="L147" s="238"/>
    </row>
    <row r="148">
      <c r="A148" s="482"/>
      <c r="C148" s="483"/>
      <c r="D148" s="483"/>
      <c r="E148" s="484"/>
      <c r="F148" s="483"/>
      <c r="G148" s="483"/>
      <c r="H148" s="483"/>
      <c r="I148" s="485"/>
      <c r="J148" s="486"/>
      <c r="K148" s="238"/>
      <c r="L148" s="238"/>
    </row>
    <row r="149">
      <c r="A149" s="482"/>
      <c r="C149" s="483"/>
      <c r="D149" s="483"/>
      <c r="E149" s="484"/>
      <c r="F149" s="483"/>
      <c r="G149" s="483"/>
      <c r="H149" s="483"/>
      <c r="I149" s="485"/>
      <c r="J149" s="486"/>
      <c r="K149" s="238"/>
      <c r="L149" s="238"/>
    </row>
    <row r="150">
      <c r="A150" s="482"/>
      <c r="C150" s="483"/>
      <c r="D150" s="483"/>
      <c r="E150" s="484"/>
      <c r="F150" s="483"/>
      <c r="G150" s="483"/>
      <c r="H150" s="483"/>
      <c r="I150" s="485"/>
      <c r="J150" s="486"/>
      <c r="K150" s="238"/>
      <c r="L150" s="238"/>
    </row>
    <row r="151">
      <c r="A151" s="482"/>
      <c r="C151" s="483"/>
      <c r="D151" s="483"/>
      <c r="E151" s="484"/>
      <c r="F151" s="483"/>
      <c r="G151" s="483"/>
      <c r="H151" s="483"/>
      <c r="I151" s="485"/>
      <c r="J151" s="486"/>
      <c r="K151" s="238"/>
      <c r="L151" s="238"/>
    </row>
    <row r="152">
      <c r="A152" s="482"/>
      <c r="C152" s="483"/>
      <c r="D152" s="483"/>
      <c r="E152" s="484"/>
      <c r="F152" s="483"/>
      <c r="G152" s="483"/>
      <c r="H152" s="483"/>
      <c r="I152" s="485"/>
      <c r="J152" s="486"/>
      <c r="K152" s="238"/>
      <c r="L152" s="238"/>
    </row>
    <row r="153">
      <c r="A153" s="482"/>
      <c r="C153" s="483"/>
      <c r="D153" s="483"/>
      <c r="E153" s="484"/>
      <c r="F153" s="483"/>
      <c r="G153" s="483"/>
      <c r="H153" s="483"/>
      <c r="I153" s="485"/>
      <c r="J153" s="486"/>
      <c r="K153" s="238"/>
      <c r="L153" s="238"/>
    </row>
    <row r="154">
      <c r="A154" s="482"/>
      <c r="C154" s="483"/>
      <c r="D154" s="483"/>
      <c r="E154" s="484"/>
      <c r="F154" s="483"/>
      <c r="G154" s="483"/>
      <c r="H154" s="483"/>
      <c r="I154" s="485"/>
      <c r="J154" s="486"/>
      <c r="K154" s="238"/>
      <c r="L154" s="238"/>
    </row>
    <row r="155">
      <c r="A155" s="482"/>
      <c r="C155" s="483"/>
      <c r="D155" s="483"/>
      <c r="E155" s="484"/>
      <c r="F155" s="483"/>
      <c r="G155" s="483"/>
      <c r="H155" s="483"/>
      <c r="I155" s="485"/>
      <c r="J155" s="486"/>
      <c r="K155" s="238"/>
      <c r="L155" s="238"/>
    </row>
    <row r="156">
      <c r="A156" s="482"/>
      <c r="C156" s="483"/>
      <c r="D156" s="483"/>
      <c r="E156" s="484"/>
      <c r="F156" s="483"/>
      <c r="G156" s="483"/>
      <c r="H156" s="483"/>
      <c r="I156" s="485"/>
      <c r="J156" s="486"/>
      <c r="K156" s="238"/>
      <c r="L156" s="238"/>
    </row>
    <row r="157">
      <c r="A157" s="482"/>
      <c r="C157" s="483"/>
      <c r="D157" s="483"/>
      <c r="E157" s="484"/>
      <c r="F157" s="483"/>
      <c r="G157" s="483"/>
      <c r="H157" s="483"/>
      <c r="I157" s="485"/>
      <c r="J157" s="486"/>
      <c r="K157" s="238"/>
      <c r="L157" s="238"/>
    </row>
    <row r="158">
      <c r="A158" s="482"/>
      <c r="C158" s="483"/>
      <c r="D158" s="483"/>
      <c r="E158" s="484"/>
      <c r="F158" s="483"/>
      <c r="G158" s="483"/>
      <c r="H158" s="483"/>
      <c r="I158" s="485"/>
      <c r="J158" s="486"/>
      <c r="K158" s="238"/>
      <c r="L158" s="238"/>
    </row>
    <row r="159">
      <c r="A159" s="482"/>
      <c r="C159" s="483"/>
      <c r="D159" s="483"/>
      <c r="E159" s="484"/>
      <c r="F159" s="483"/>
      <c r="G159" s="483"/>
      <c r="H159" s="483"/>
      <c r="I159" s="485"/>
      <c r="J159" s="486"/>
      <c r="K159" s="238"/>
      <c r="L159" s="238"/>
    </row>
    <row r="160">
      <c r="A160" s="482"/>
      <c r="C160" s="483"/>
      <c r="D160" s="483"/>
      <c r="E160" s="484"/>
      <c r="F160" s="483"/>
      <c r="G160" s="483"/>
      <c r="H160" s="483"/>
      <c r="I160" s="485"/>
      <c r="J160" s="486"/>
      <c r="K160" s="238"/>
      <c r="L160" s="238"/>
    </row>
    <row r="161">
      <c r="A161" s="482"/>
      <c r="C161" s="483"/>
      <c r="D161" s="483"/>
      <c r="E161" s="484"/>
      <c r="F161" s="483"/>
      <c r="G161" s="483"/>
      <c r="H161" s="483"/>
      <c r="I161" s="485"/>
      <c r="J161" s="486"/>
      <c r="K161" s="238"/>
      <c r="L161" s="238"/>
    </row>
    <row r="162">
      <c r="A162" s="482"/>
      <c r="C162" s="483"/>
      <c r="D162" s="483"/>
      <c r="E162" s="484"/>
      <c r="F162" s="483"/>
      <c r="G162" s="483"/>
      <c r="H162" s="483"/>
      <c r="I162" s="485"/>
      <c r="J162" s="486"/>
      <c r="K162" s="238"/>
      <c r="L162" s="238"/>
    </row>
    <row r="163">
      <c r="A163" s="482"/>
      <c r="C163" s="483"/>
      <c r="D163" s="483"/>
      <c r="E163" s="484"/>
      <c r="F163" s="483"/>
      <c r="G163" s="483"/>
      <c r="H163" s="483"/>
      <c r="I163" s="485"/>
      <c r="J163" s="486"/>
      <c r="K163" s="238"/>
      <c r="L163" s="238"/>
    </row>
    <row r="164">
      <c r="A164" s="482"/>
      <c r="C164" s="483"/>
      <c r="D164" s="483"/>
      <c r="E164" s="484"/>
      <c r="F164" s="483"/>
      <c r="G164" s="483"/>
      <c r="H164" s="483"/>
      <c r="I164" s="485"/>
      <c r="J164" s="486"/>
      <c r="K164" s="238"/>
      <c r="L164" s="238"/>
    </row>
    <row r="165">
      <c r="A165" s="482"/>
      <c r="C165" s="483"/>
      <c r="D165" s="483"/>
      <c r="E165" s="484"/>
      <c r="F165" s="483"/>
      <c r="G165" s="483"/>
      <c r="H165" s="483"/>
      <c r="I165" s="485"/>
      <c r="J165" s="486"/>
      <c r="K165" s="238"/>
      <c r="L165" s="238"/>
    </row>
    <row r="166">
      <c r="A166" s="482"/>
      <c r="C166" s="483"/>
      <c r="D166" s="483"/>
      <c r="E166" s="484"/>
      <c r="F166" s="483"/>
      <c r="G166" s="483"/>
      <c r="H166" s="483"/>
      <c r="I166" s="485"/>
      <c r="J166" s="486"/>
      <c r="K166" s="238"/>
      <c r="L166" s="238"/>
    </row>
    <row r="167">
      <c r="A167" s="482"/>
      <c r="C167" s="483"/>
      <c r="D167" s="483"/>
      <c r="E167" s="484"/>
      <c r="F167" s="483"/>
      <c r="G167" s="483"/>
      <c r="H167" s="483"/>
      <c r="I167" s="485"/>
      <c r="J167" s="486"/>
      <c r="K167" s="238"/>
      <c r="L167" s="238"/>
    </row>
    <row r="168">
      <c r="A168" s="482"/>
      <c r="C168" s="483"/>
      <c r="D168" s="483"/>
      <c r="E168" s="484"/>
      <c r="F168" s="483"/>
      <c r="G168" s="483"/>
      <c r="H168" s="483"/>
      <c r="I168" s="485"/>
      <c r="J168" s="486"/>
      <c r="K168" s="238"/>
      <c r="L168" s="238"/>
    </row>
    <row r="169">
      <c r="A169" s="482"/>
      <c r="C169" s="483"/>
      <c r="D169" s="483"/>
      <c r="E169" s="484"/>
      <c r="F169" s="483"/>
      <c r="G169" s="483"/>
      <c r="H169" s="483"/>
      <c r="I169" s="485"/>
      <c r="J169" s="486"/>
      <c r="K169" s="238"/>
      <c r="L169" s="238"/>
    </row>
    <row r="170">
      <c r="A170" s="482"/>
      <c r="C170" s="483"/>
      <c r="D170" s="483"/>
      <c r="E170" s="484"/>
      <c r="F170" s="483"/>
      <c r="G170" s="483"/>
      <c r="H170" s="483"/>
      <c r="I170" s="485"/>
      <c r="J170" s="486"/>
      <c r="K170" s="238"/>
      <c r="L170" s="238"/>
    </row>
    <row r="171">
      <c r="A171" s="482"/>
      <c r="C171" s="483"/>
      <c r="D171" s="483"/>
      <c r="E171" s="484"/>
      <c r="F171" s="483"/>
      <c r="G171" s="483"/>
      <c r="H171" s="483"/>
      <c r="I171" s="485"/>
      <c r="J171" s="486"/>
      <c r="K171" s="238"/>
      <c r="L171" s="238"/>
    </row>
    <row r="172">
      <c r="A172" s="482"/>
      <c r="C172" s="483"/>
      <c r="D172" s="483"/>
      <c r="E172" s="484"/>
      <c r="F172" s="483"/>
      <c r="G172" s="483"/>
      <c r="H172" s="483"/>
      <c r="I172" s="485"/>
      <c r="J172" s="486"/>
      <c r="K172" s="238"/>
      <c r="L172" s="238"/>
    </row>
    <row r="173">
      <c r="A173" s="482"/>
      <c r="C173" s="483"/>
      <c r="D173" s="483"/>
      <c r="E173" s="484"/>
      <c r="F173" s="483"/>
      <c r="G173" s="483"/>
      <c r="H173" s="483"/>
      <c r="I173" s="485"/>
      <c r="J173" s="486"/>
      <c r="K173" s="238"/>
      <c r="L173" s="238"/>
    </row>
    <row r="174">
      <c r="A174" s="482"/>
      <c r="C174" s="483"/>
      <c r="D174" s="483"/>
      <c r="E174" s="484"/>
      <c r="F174" s="483"/>
      <c r="G174" s="483"/>
      <c r="H174" s="483"/>
      <c r="I174" s="485"/>
      <c r="J174" s="486"/>
      <c r="K174" s="238"/>
      <c r="L174" s="238"/>
    </row>
    <row r="175">
      <c r="A175" s="482"/>
      <c r="C175" s="483"/>
      <c r="D175" s="483"/>
      <c r="E175" s="484"/>
      <c r="F175" s="483"/>
      <c r="G175" s="483"/>
      <c r="H175" s="483"/>
      <c r="I175" s="485"/>
      <c r="J175" s="486"/>
      <c r="K175" s="238"/>
      <c r="L175" s="238"/>
    </row>
    <row r="176">
      <c r="A176" s="482"/>
      <c r="C176" s="483"/>
      <c r="D176" s="483"/>
      <c r="E176" s="484"/>
      <c r="F176" s="483"/>
      <c r="G176" s="483"/>
      <c r="H176" s="483"/>
      <c r="I176" s="485"/>
      <c r="J176" s="486"/>
      <c r="K176" s="238"/>
      <c r="L176" s="238"/>
    </row>
    <row r="177">
      <c r="A177" s="482"/>
      <c r="C177" s="483"/>
      <c r="D177" s="483"/>
      <c r="E177" s="484"/>
      <c r="F177" s="483"/>
      <c r="G177" s="483"/>
      <c r="H177" s="483"/>
      <c r="I177" s="485"/>
      <c r="J177" s="486"/>
      <c r="K177" s="238"/>
      <c r="L177" s="238"/>
    </row>
    <row r="178">
      <c r="A178" s="482"/>
      <c r="C178" s="483"/>
      <c r="D178" s="483"/>
      <c r="E178" s="484"/>
      <c r="F178" s="483"/>
      <c r="G178" s="483"/>
      <c r="H178" s="483"/>
      <c r="I178" s="485"/>
      <c r="J178" s="486"/>
      <c r="K178" s="238"/>
      <c r="L178" s="238"/>
    </row>
    <row r="179">
      <c r="A179" s="482"/>
      <c r="C179" s="483"/>
      <c r="D179" s="483"/>
      <c r="E179" s="484"/>
      <c r="F179" s="483"/>
      <c r="G179" s="483"/>
      <c r="H179" s="483"/>
      <c r="I179" s="485"/>
      <c r="J179" s="486"/>
      <c r="K179" s="238"/>
      <c r="L179" s="238"/>
    </row>
    <row r="180">
      <c r="A180" s="482"/>
      <c r="C180" s="483"/>
      <c r="D180" s="483"/>
      <c r="E180" s="484"/>
      <c r="F180" s="483"/>
      <c r="G180" s="483"/>
      <c r="H180" s="483"/>
      <c r="I180" s="485"/>
      <c r="J180" s="486"/>
      <c r="K180" s="238"/>
      <c r="L180" s="238"/>
    </row>
    <row r="181">
      <c r="A181" s="482"/>
      <c r="C181" s="483"/>
      <c r="D181" s="483"/>
      <c r="E181" s="484"/>
      <c r="F181" s="483"/>
      <c r="G181" s="483"/>
      <c r="H181" s="483"/>
      <c r="I181" s="485"/>
      <c r="J181" s="486"/>
      <c r="K181" s="238"/>
      <c r="L181" s="238"/>
    </row>
    <row r="182">
      <c r="A182" s="482"/>
      <c r="C182" s="483"/>
      <c r="D182" s="483"/>
      <c r="E182" s="484"/>
      <c r="F182" s="483"/>
      <c r="G182" s="483"/>
      <c r="H182" s="483"/>
      <c r="I182" s="485"/>
      <c r="J182" s="486"/>
      <c r="K182" s="238"/>
      <c r="L182" s="238"/>
    </row>
    <row r="183">
      <c r="A183" s="482"/>
      <c r="C183" s="483"/>
      <c r="D183" s="483"/>
      <c r="E183" s="484"/>
      <c r="F183" s="483"/>
      <c r="G183" s="483"/>
      <c r="H183" s="483"/>
      <c r="I183" s="485"/>
      <c r="J183" s="486"/>
      <c r="K183" s="238"/>
      <c r="L183" s="238"/>
    </row>
    <row r="184">
      <c r="A184" s="482"/>
      <c r="C184" s="483"/>
      <c r="D184" s="483"/>
      <c r="E184" s="484"/>
      <c r="F184" s="483"/>
      <c r="G184" s="483"/>
      <c r="H184" s="483"/>
      <c r="I184" s="485"/>
      <c r="J184" s="486"/>
      <c r="K184" s="238"/>
      <c r="L184" s="238"/>
    </row>
    <row r="185">
      <c r="A185" s="482"/>
      <c r="C185" s="483"/>
      <c r="D185" s="483"/>
      <c r="E185" s="484"/>
      <c r="F185" s="483"/>
      <c r="G185" s="483"/>
      <c r="H185" s="483"/>
      <c r="I185" s="485"/>
      <c r="J185" s="486"/>
      <c r="K185" s="238"/>
      <c r="L185" s="238"/>
    </row>
    <row r="186">
      <c r="A186" s="482"/>
      <c r="C186" s="483"/>
      <c r="D186" s="483"/>
      <c r="E186" s="484"/>
      <c r="F186" s="483"/>
      <c r="G186" s="483"/>
      <c r="H186" s="483"/>
      <c r="I186" s="485"/>
      <c r="J186" s="486"/>
      <c r="K186" s="238"/>
      <c r="L186" s="238"/>
    </row>
    <row r="187">
      <c r="A187" s="482"/>
      <c r="C187" s="483"/>
      <c r="D187" s="483"/>
      <c r="E187" s="484"/>
      <c r="F187" s="483"/>
      <c r="G187" s="483"/>
      <c r="H187" s="483"/>
      <c r="I187" s="485"/>
      <c r="J187" s="486"/>
      <c r="K187" s="238"/>
      <c r="L187" s="238"/>
    </row>
    <row r="188">
      <c r="A188" s="482"/>
      <c r="C188" s="483"/>
      <c r="D188" s="483"/>
      <c r="E188" s="484"/>
      <c r="F188" s="483"/>
      <c r="G188" s="483"/>
      <c r="H188" s="483"/>
      <c r="I188" s="485"/>
      <c r="J188" s="486"/>
      <c r="K188" s="238"/>
      <c r="L188" s="238"/>
    </row>
    <row r="189">
      <c r="A189" s="482"/>
      <c r="C189" s="483"/>
      <c r="D189" s="483"/>
      <c r="E189" s="484"/>
      <c r="F189" s="483"/>
      <c r="G189" s="483"/>
      <c r="H189" s="483"/>
      <c r="I189" s="485"/>
      <c r="J189" s="486"/>
      <c r="K189" s="238"/>
      <c r="L189" s="238"/>
    </row>
    <row r="190">
      <c r="A190" s="482"/>
      <c r="C190" s="483"/>
      <c r="D190" s="483"/>
      <c r="E190" s="484"/>
      <c r="F190" s="483"/>
      <c r="G190" s="483"/>
      <c r="H190" s="483"/>
      <c r="I190" s="485"/>
      <c r="J190" s="486"/>
      <c r="K190" s="238"/>
      <c r="L190" s="238"/>
    </row>
    <row r="191">
      <c r="A191" s="482"/>
      <c r="C191" s="483"/>
      <c r="D191" s="483"/>
      <c r="E191" s="484"/>
      <c r="F191" s="483"/>
      <c r="G191" s="483"/>
      <c r="H191" s="483"/>
      <c r="I191" s="485"/>
      <c r="J191" s="486"/>
      <c r="K191" s="238"/>
      <c r="L191" s="238"/>
    </row>
    <row r="192">
      <c r="A192" s="482"/>
      <c r="C192" s="483"/>
      <c r="D192" s="483"/>
      <c r="E192" s="484"/>
      <c r="F192" s="483"/>
      <c r="G192" s="483"/>
      <c r="H192" s="483"/>
      <c r="I192" s="485"/>
      <c r="J192" s="486"/>
      <c r="K192" s="238"/>
      <c r="L192" s="238"/>
    </row>
    <row r="193">
      <c r="A193" s="482"/>
      <c r="C193" s="483"/>
      <c r="D193" s="483"/>
      <c r="E193" s="484"/>
      <c r="F193" s="483"/>
      <c r="G193" s="483"/>
      <c r="H193" s="483"/>
      <c r="I193" s="485"/>
      <c r="J193" s="486"/>
      <c r="K193" s="238"/>
      <c r="L193" s="238"/>
    </row>
    <row r="194">
      <c r="A194" s="482"/>
      <c r="C194" s="483"/>
      <c r="D194" s="483"/>
      <c r="E194" s="484"/>
      <c r="F194" s="483"/>
      <c r="G194" s="483"/>
      <c r="H194" s="483"/>
      <c r="I194" s="485"/>
      <c r="J194" s="486"/>
      <c r="K194" s="238"/>
      <c r="L194" s="238"/>
    </row>
    <row r="195">
      <c r="A195" s="482"/>
      <c r="C195" s="483"/>
      <c r="D195" s="483"/>
      <c r="E195" s="484"/>
      <c r="F195" s="483"/>
      <c r="G195" s="483"/>
      <c r="H195" s="483"/>
      <c r="I195" s="485"/>
      <c r="J195" s="486"/>
      <c r="K195" s="238"/>
      <c r="L195" s="238"/>
    </row>
    <row r="196">
      <c r="A196" s="482"/>
      <c r="C196" s="483"/>
      <c r="D196" s="483"/>
      <c r="E196" s="484"/>
      <c r="F196" s="483"/>
      <c r="G196" s="483"/>
      <c r="H196" s="483"/>
      <c r="I196" s="485"/>
      <c r="J196" s="486"/>
      <c r="K196" s="238"/>
      <c r="L196" s="238"/>
    </row>
    <row r="197">
      <c r="A197" s="482"/>
      <c r="C197" s="483"/>
      <c r="D197" s="483"/>
      <c r="E197" s="484"/>
      <c r="F197" s="483"/>
      <c r="G197" s="483"/>
      <c r="H197" s="483"/>
      <c r="I197" s="485"/>
      <c r="J197" s="486"/>
      <c r="K197" s="238"/>
      <c r="L197" s="238"/>
    </row>
    <row r="198">
      <c r="A198" s="482"/>
      <c r="C198" s="483"/>
      <c r="D198" s="483"/>
      <c r="E198" s="484"/>
      <c r="F198" s="483"/>
      <c r="G198" s="483"/>
      <c r="H198" s="483"/>
      <c r="I198" s="485"/>
      <c r="J198" s="486"/>
      <c r="K198" s="238"/>
      <c r="L198" s="238"/>
    </row>
    <row r="199">
      <c r="A199" s="482"/>
      <c r="C199" s="483"/>
      <c r="D199" s="483"/>
      <c r="E199" s="484"/>
      <c r="F199" s="483"/>
      <c r="G199" s="483"/>
      <c r="H199" s="483"/>
      <c r="I199" s="485"/>
      <c r="J199" s="486"/>
      <c r="K199" s="238"/>
      <c r="L199" s="238"/>
    </row>
    <row r="200">
      <c r="A200" s="482"/>
      <c r="C200" s="483"/>
      <c r="D200" s="483"/>
      <c r="E200" s="484"/>
      <c r="F200" s="483"/>
      <c r="G200" s="483"/>
      <c r="H200" s="483"/>
      <c r="I200" s="485"/>
      <c r="J200" s="486"/>
      <c r="K200" s="238"/>
      <c r="L200" s="238"/>
    </row>
    <row r="201">
      <c r="A201" s="482"/>
      <c r="C201" s="483"/>
      <c r="D201" s="483"/>
      <c r="E201" s="484"/>
      <c r="F201" s="483"/>
      <c r="G201" s="483"/>
      <c r="H201" s="483"/>
      <c r="I201" s="485"/>
      <c r="J201" s="486"/>
      <c r="K201" s="238"/>
      <c r="L201" s="238"/>
    </row>
    <row r="202">
      <c r="A202" s="482"/>
      <c r="C202" s="483"/>
      <c r="D202" s="483"/>
      <c r="E202" s="484"/>
      <c r="F202" s="483"/>
      <c r="G202" s="483"/>
      <c r="H202" s="483"/>
      <c r="I202" s="485"/>
      <c r="J202" s="486"/>
      <c r="K202" s="238"/>
      <c r="L202" s="238"/>
    </row>
    <row r="203">
      <c r="A203" s="482"/>
      <c r="C203" s="483"/>
      <c r="D203" s="483"/>
      <c r="E203" s="484"/>
      <c r="F203" s="483"/>
      <c r="G203" s="483"/>
      <c r="H203" s="483"/>
      <c r="I203" s="485"/>
      <c r="J203" s="486"/>
      <c r="K203" s="238"/>
      <c r="L203" s="238"/>
    </row>
    <row r="204">
      <c r="A204" s="482"/>
      <c r="C204" s="483"/>
      <c r="D204" s="483"/>
      <c r="E204" s="484"/>
      <c r="F204" s="483"/>
      <c r="G204" s="483"/>
      <c r="H204" s="483"/>
      <c r="I204" s="485"/>
      <c r="J204" s="486"/>
      <c r="K204" s="238"/>
      <c r="L204" s="238"/>
    </row>
    <row r="205">
      <c r="A205" s="482"/>
      <c r="C205" s="483"/>
      <c r="D205" s="483"/>
      <c r="E205" s="484"/>
      <c r="F205" s="483"/>
      <c r="G205" s="483"/>
      <c r="H205" s="483"/>
      <c r="I205" s="485"/>
      <c r="J205" s="486"/>
      <c r="K205" s="238"/>
      <c r="L205" s="238"/>
    </row>
    <row r="206">
      <c r="A206" s="482"/>
      <c r="C206" s="483"/>
      <c r="D206" s="483"/>
      <c r="E206" s="484"/>
      <c r="F206" s="483"/>
      <c r="G206" s="483"/>
      <c r="H206" s="483"/>
      <c r="I206" s="485"/>
      <c r="J206" s="486"/>
      <c r="K206" s="238"/>
      <c r="L206" s="238"/>
    </row>
    <row r="207">
      <c r="A207" s="482"/>
      <c r="C207" s="483"/>
      <c r="D207" s="483"/>
      <c r="E207" s="484"/>
      <c r="F207" s="483"/>
      <c r="G207" s="483"/>
      <c r="H207" s="483"/>
      <c r="I207" s="485"/>
      <c r="J207" s="486"/>
      <c r="K207" s="238"/>
      <c r="L207" s="238"/>
    </row>
    <row r="208">
      <c r="A208" s="482"/>
      <c r="C208" s="483"/>
      <c r="D208" s="483"/>
      <c r="E208" s="484"/>
      <c r="F208" s="483"/>
      <c r="G208" s="483"/>
      <c r="H208" s="483"/>
      <c r="I208" s="485"/>
      <c r="J208" s="486"/>
      <c r="K208" s="238"/>
      <c r="L208" s="238"/>
    </row>
    <row r="209">
      <c r="A209" s="482"/>
      <c r="C209" s="483"/>
      <c r="D209" s="483"/>
      <c r="E209" s="484"/>
      <c r="F209" s="483"/>
      <c r="G209" s="483"/>
      <c r="H209" s="483"/>
      <c r="I209" s="485"/>
      <c r="J209" s="486"/>
      <c r="K209" s="238"/>
      <c r="L209" s="238"/>
    </row>
    <row r="210">
      <c r="A210" s="482"/>
      <c r="C210" s="483"/>
      <c r="D210" s="483"/>
      <c r="E210" s="484"/>
      <c r="F210" s="483"/>
      <c r="G210" s="483"/>
      <c r="H210" s="483"/>
      <c r="I210" s="485"/>
      <c r="J210" s="486"/>
      <c r="K210" s="238"/>
      <c r="L210" s="238"/>
    </row>
    <row r="211">
      <c r="A211" s="482"/>
      <c r="C211" s="483"/>
      <c r="D211" s="483"/>
      <c r="E211" s="484"/>
      <c r="F211" s="483"/>
      <c r="G211" s="483"/>
      <c r="H211" s="483"/>
      <c r="I211" s="485"/>
      <c r="J211" s="486"/>
      <c r="K211" s="238"/>
      <c r="L211" s="238"/>
    </row>
    <row r="212">
      <c r="A212" s="482"/>
      <c r="C212" s="483"/>
      <c r="D212" s="483"/>
      <c r="E212" s="484"/>
      <c r="F212" s="483"/>
      <c r="G212" s="483"/>
      <c r="H212" s="483"/>
      <c r="I212" s="485"/>
      <c r="J212" s="486"/>
      <c r="K212" s="238"/>
      <c r="L212" s="238"/>
    </row>
    <row r="213">
      <c r="A213" s="482"/>
      <c r="C213" s="483"/>
      <c r="D213" s="483"/>
      <c r="E213" s="484"/>
      <c r="F213" s="483"/>
      <c r="G213" s="483"/>
      <c r="H213" s="483"/>
      <c r="I213" s="485"/>
      <c r="J213" s="486"/>
      <c r="K213" s="238"/>
      <c r="L213" s="238"/>
    </row>
    <row r="214">
      <c r="A214" s="482"/>
      <c r="C214" s="483"/>
      <c r="D214" s="483"/>
      <c r="E214" s="484"/>
      <c r="F214" s="483"/>
      <c r="G214" s="483"/>
      <c r="H214" s="483"/>
      <c r="I214" s="485"/>
      <c r="J214" s="486"/>
      <c r="K214" s="238"/>
      <c r="L214" s="238"/>
    </row>
    <row r="215">
      <c r="A215" s="482"/>
      <c r="C215" s="483"/>
      <c r="D215" s="483"/>
      <c r="E215" s="484"/>
      <c r="F215" s="483"/>
      <c r="G215" s="483"/>
      <c r="H215" s="483"/>
      <c r="I215" s="485"/>
      <c r="J215" s="486"/>
      <c r="K215" s="238"/>
      <c r="L215" s="238"/>
    </row>
    <row r="216">
      <c r="A216" s="482"/>
      <c r="C216" s="483"/>
      <c r="D216" s="483"/>
      <c r="E216" s="484"/>
      <c r="F216" s="483"/>
      <c r="G216" s="483"/>
      <c r="H216" s="483"/>
      <c r="I216" s="485"/>
      <c r="J216" s="486"/>
      <c r="K216" s="238"/>
      <c r="L216" s="238"/>
    </row>
    <row r="217">
      <c r="A217" s="482"/>
      <c r="C217" s="483"/>
      <c r="D217" s="483"/>
      <c r="E217" s="484"/>
      <c r="F217" s="483"/>
      <c r="G217" s="483"/>
      <c r="H217" s="483"/>
      <c r="I217" s="485"/>
      <c r="J217" s="486"/>
      <c r="K217" s="238"/>
      <c r="L217" s="238"/>
    </row>
    <row r="218">
      <c r="A218" s="482"/>
      <c r="C218" s="483"/>
      <c r="D218" s="483"/>
      <c r="E218" s="484"/>
      <c r="F218" s="483"/>
      <c r="G218" s="483"/>
      <c r="H218" s="483"/>
      <c r="I218" s="485"/>
      <c r="J218" s="486"/>
      <c r="K218" s="238"/>
      <c r="L218" s="238"/>
    </row>
    <row r="219">
      <c r="A219" s="482"/>
      <c r="C219" s="483"/>
      <c r="D219" s="483"/>
      <c r="E219" s="484"/>
      <c r="F219" s="483"/>
      <c r="G219" s="483"/>
      <c r="H219" s="483"/>
      <c r="I219" s="485"/>
      <c r="J219" s="486"/>
      <c r="K219" s="238"/>
      <c r="L219" s="238"/>
    </row>
    <row r="220">
      <c r="A220" s="482"/>
      <c r="C220" s="483"/>
      <c r="D220" s="483"/>
      <c r="E220" s="484"/>
      <c r="F220" s="483"/>
      <c r="G220" s="483"/>
      <c r="H220" s="483"/>
      <c r="I220" s="485"/>
      <c r="J220" s="486"/>
      <c r="K220" s="238"/>
      <c r="L220" s="238"/>
    </row>
    <row r="221">
      <c r="A221" s="482"/>
      <c r="C221" s="483"/>
      <c r="D221" s="483"/>
      <c r="E221" s="484"/>
      <c r="F221" s="483"/>
      <c r="G221" s="483"/>
      <c r="H221" s="483"/>
      <c r="I221" s="485"/>
      <c r="J221" s="486"/>
      <c r="K221" s="238"/>
      <c r="L221" s="238"/>
    </row>
    <row r="222">
      <c r="A222" s="482"/>
      <c r="C222" s="483"/>
      <c r="D222" s="483"/>
      <c r="E222" s="484"/>
      <c r="F222" s="483"/>
      <c r="G222" s="483"/>
      <c r="H222" s="483"/>
      <c r="I222" s="485"/>
      <c r="J222" s="486"/>
      <c r="K222" s="238"/>
      <c r="L222" s="238"/>
    </row>
    <row r="223">
      <c r="A223" s="482"/>
      <c r="C223" s="483"/>
      <c r="D223" s="483"/>
      <c r="E223" s="484"/>
      <c r="F223" s="483"/>
      <c r="G223" s="483"/>
      <c r="H223" s="483"/>
      <c r="I223" s="485"/>
      <c r="J223" s="486"/>
      <c r="K223" s="238"/>
      <c r="L223" s="238"/>
    </row>
    <row r="224">
      <c r="A224" s="482"/>
      <c r="C224" s="483"/>
      <c r="D224" s="483"/>
      <c r="E224" s="484"/>
      <c r="F224" s="483"/>
      <c r="G224" s="483"/>
      <c r="H224" s="483"/>
      <c r="I224" s="485"/>
      <c r="J224" s="486"/>
      <c r="K224" s="238"/>
      <c r="L224" s="238"/>
    </row>
    <row r="225">
      <c r="A225" s="482"/>
      <c r="C225" s="483"/>
      <c r="D225" s="483"/>
      <c r="E225" s="484"/>
      <c r="F225" s="483"/>
      <c r="G225" s="483"/>
      <c r="H225" s="483"/>
      <c r="I225" s="485"/>
      <c r="J225" s="486"/>
      <c r="K225" s="238"/>
      <c r="L225" s="238"/>
    </row>
    <row r="226">
      <c r="A226" s="482"/>
      <c r="C226" s="483"/>
      <c r="D226" s="483"/>
      <c r="E226" s="484"/>
      <c r="F226" s="483"/>
      <c r="G226" s="483"/>
      <c r="H226" s="483"/>
      <c r="I226" s="485"/>
      <c r="J226" s="486"/>
      <c r="K226" s="238"/>
      <c r="L226" s="238"/>
    </row>
    <row r="227">
      <c r="A227" s="482"/>
      <c r="C227" s="483"/>
      <c r="D227" s="483"/>
      <c r="E227" s="484"/>
      <c r="F227" s="483"/>
      <c r="G227" s="483"/>
      <c r="H227" s="483"/>
      <c r="I227" s="485"/>
      <c r="J227" s="486"/>
      <c r="K227" s="238"/>
      <c r="L227" s="238"/>
    </row>
    <row r="228">
      <c r="A228" s="482"/>
      <c r="C228" s="483"/>
      <c r="D228" s="483"/>
      <c r="E228" s="484"/>
      <c r="F228" s="483"/>
      <c r="G228" s="483"/>
      <c r="H228" s="483"/>
      <c r="I228" s="485"/>
      <c r="J228" s="486"/>
      <c r="K228" s="238"/>
      <c r="L228" s="238"/>
    </row>
    <row r="229">
      <c r="A229" s="482"/>
      <c r="C229" s="483"/>
      <c r="D229" s="483"/>
      <c r="E229" s="484"/>
      <c r="F229" s="483"/>
      <c r="G229" s="483"/>
      <c r="H229" s="483"/>
      <c r="I229" s="485"/>
      <c r="J229" s="486"/>
      <c r="K229" s="238"/>
      <c r="L229" s="238"/>
    </row>
    <row r="230">
      <c r="A230" s="482"/>
      <c r="C230" s="483"/>
      <c r="D230" s="483"/>
      <c r="E230" s="484"/>
      <c r="F230" s="483"/>
      <c r="G230" s="483"/>
      <c r="H230" s="483"/>
      <c r="I230" s="485"/>
      <c r="J230" s="486"/>
      <c r="K230" s="238"/>
      <c r="L230" s="238"/>
    </row>
    <row r="231">
      <c r="A231" s="482"/>
      <c r="C231" s="483"/>
      <c r="D231" s="483"/>
      <c r="E231" s="484"/>
      <c r="F231" s="483"/>
      <c r="G231" s="483"/>
      <c r="H231" s="483"/>
      <c r="I231" s="485"/>
      <c r="J231" s="486"/>
      <c r="K231" s="238"/>
      <c r="L231" s="238"/>
    </row>
    <row r="232">
      <c r="A232" s="482"/>
      <c r="C232" s="483"/>
      <c r="D232" s="483"/>
      <c r="E232" s="484"/>
      <c r="F232" s="483"/>
      <c r="G232" s="483"/>
      <c r="H232" s="483"/>
      <c r="I232" s="485"/>
      <c r="J232" s="486"/>
      <c r="K232" s="238"/>
      <c r="L232" s="238"/>
    </row>
    <row r="233">
      <c r="A233" s="482"/>
      <c r="C233" s="483"/>
      <c r="D233" s="483"/>
      <c r="E233" s="484"/>
      <c r="F233" s="483"/>
      <c r="G233" s="483"/>
      <c r="H233" s="483"/>
      <c r="I233" s="485"/>
      <c r="J233" s="486"/>
      <c r="K233" s="238"/>
      <c r="L233" s="238"/>
    </row>
    <row r="234">
      <c r="A234" s="482"/>
      <c r="C234" s="483"/>
      <c r="D234" s="483"/>
      <c r="E234" s="484"/>
      <c r="F234" s="483"/>
      <c r="G234" s="483"/>
      <c r="H234" s="483"/>
      <c r="I234" s="485"/>
      <c r="J234" s="486"/>
      <c r="K234" s="238"/>
      <c r="L234" s="238"/>
    </row>
    <row r="235">
      <c r="A235" s="482"/>
      <c r="C235" s="483"/>
      <c r="D235" s="483"/>
      <c r="E235" s="484"/>
      <c r="F235" s="483"/>
      <c r="G235" s="483"/>
      <c r="H235" s="483"/>
      <c r="I235" s="485"/>
      <c r="J235" s="486"/>
      <c r="K235" s="238"/>
      <c r="L235" s="238"/>
    </row>
    <row r="236">
      <c r="A236" s="482"/>
      <c r="C236" s="483"/>
      <c r="D236" s="483"/>
      <c r="E236" s="484"/>
      <c r="F236" s="483"/>
      <c r="G236" s="483"/>
      <c r="H236" s="483"/>
      <c r="I236" s="485"/>
      <c r="J236" s="486"/>
      <c r="K236" s="238"/>
      <c r="L236" s="238"/>
    </row>
    <row r="237">
      <c r="A237" s="482"/>
      <c r="C237" s="483"/>
      <c r="D237" s="483"/>
      <c r="E237" s="484"/>
      <c r="F237" s="483"/>
      <c r="G237" s="483"/>
      <c r="H237" s="483"/>
      <c r="I237" s="485"/>
      <c r="J237" s="486"/>
      <c r="K237" s="238"/>
      <c r="L237" s="238"/>
    </row>
    <row r="238">
      <c r="A238" s="482"/>
      <c r="C238" s="483"/>
      <c r="D238" s="483"/>
      <c r="E238" s="484"/>
      <c r="F238" s="483"/>
      <c r="G238" s="483"/>
      <c r="H238" s="483"/>
      <c r="I238" s="485"/>
      <c r="J238" s="486"/>
      <c r="K238" s="238"/>
      <c r="L238" s="238"/>
    </row>
    <row r="239">
      <c r="A239" s="482"/>
      <c r="C239" s="483"/>
      <c r="D239" s="483"/>
      <c r="E239" s="484"/>
      <c r="F239" s="483"/>
      <c r="G239" s="483"/>
      <c r="H239" s="483"/>
      <c r="I239" s="485"/>
      <c r="J239" s="486"/>
      <c r="K239" s="238"/>
      <c r="L239" s="238"/>
    </row>
    <row r="240">
      <c r="A240" s="482"/>
      <c r="C240" s="483"/>
      <c r="D240" s="483"/>
      <c r="E240" s="484"/>
      <c r="F240" s="483"/>
      <c r="G240" s="483"/>
      <c r="H240" s="483"/>
      <c r="I240" s="485"/>
      <c r="J240" s="486"/>
      <c r="K240" s="238"/>
      <c r="L240" s="238"/>
    </row>
    <row r="241">
      <c r="A241" s="482"/>
      <c r="C241" s="483"/>
      <c r="D241" s="483"/>
      <c r="E241" s="484"/>
      <c r="F241" s="483"/>
      <c r="G241" s="483"/>
      <c r="H241" s="483"/>
      <c r="I241" s="485"/>
      <c r="J241" s="486"/>
      <c r="K241" s="238"/>
      <c r="L241" s="238"/>
    </row>
    <row r="242">
      <c r="A242" s="482"/>
      <c r="C242" s="483"/>
      <c r="D242" s="483"/>
      <c r="E242" s="484"/>
      <c r="F242" s="483"/>
      <c r="G242" s="483"/>
      <c r="H242" s="483"/>
      <c r="I242" s="485"/>
      <c r="J242" s="486"/>
      <c r="K242" s="238"/>
      <c r="L242" s="238"/>
    </row>
    <row r="243">
      <c r="A243" s="482"/>
      <c r="C243" s="483"/>
      <c r="D243" s="483"/>
      <c r="E243" s="484"/>
      <c r="F243" s="483"/>
      <c r="G243" s="483"/>
      <c r="H243" s="483"/>
      <c r="I243" s="485"/>
      <c r="J243" s="486"/>
      <c r="K243" s="238"/>
      <c r="L243" s="238"/>
    </row>
    <row r="244">
      <c r="A244" s="482"/>
      <c r="C244" s="483"/>
      <c r="D244" s="483"/>
      <c r="E244" s="484"/>
      <c r="F244" s="483"/>
      <c r="G244" s="483"/>
      <c r="H244" s="483"/>
      <c r="I244" s="485"/>
      <c r="J244" s="486"/>
      <c r="K244" s="238"/>
      <c r="L244" s="238"/>
    </row>
    <row r="245">
      <c r="A245" s="482"/>
      <c r="C245" s="483"/>
      <c r="D245" s="483"/>
      <c r="E245" s="484"/>
      <c r="F245" s="483"/>
      <c r="G245" s="483"/>
      <c r="H245" s="483"/>
      <c r="I245" s="485"/>
      <c r="J245" s="486"/>
      <c r="K245" s="238"/>
      <c r="L245" s="238"/>
    </row>
    <row r="246">
      <c r="A246" s="482"/>
      <c r="C246" s="483"/>
      <c r="D246" s="483"/>
      <c r="E246" s="484"/>
      <c r="F246" s="483"/>
      <c r="G246" s="483"/>
      <c r="H246" s="483"/>
      <c r="I246" s="485"/>
      <c r="J246" s="486"/>
      <c r="K246" s="238"/>
      <c r="L246" s="238"/>
    </row>
    <row r="247">
      <c r="A247" s="482"/>
      <c r="C247" s="483"/>
      <c r="D247" s="483"/>
      <c r="E247" s="484"/>
      <c r="F247" s="483"/>
      <c r="G247" s="483"/>
      <c r="H247" s="483"/>
      <c r="I247" s="485"/>
      <c r="J247" s="486"/>
      <c r="K247" s="238"/>
      <c r="L247" s="238"/>
    </row>
    <row r="248">
      <c r="A248" s="482"/>
      <c r="C248" s="483"/>
      <c r="D248" s="483"/>
      <c r="E248" s="484"/>
      <c r="F248" s="483"/>
      <c r="G248" s="483"/>
      <c r="H248" s="483"/>
      <c r="I248" s="485"/>
      <c r="J248" s="486"/>
      <c r="K248" s="238"/>
      <c r="L248" s="238"/>
    </row>
    <row r="249">
      <c r="A249" s="482"/>
      <c r="C249" s="483"/>
      <c r="D249" s="483"/>
      <c r="E249" s="484"/>
      <c r="F249" s="483"/>
      <c r="G249" s="483"/>
      <c r="H249" s="483"/>
      <c r="I249" s="485"/>
      <c r="J249" s="486"/>
      <c r="K249" s="238"/>
      <c r="L249" s="238"/>
    </row>
    <row r="250">
      <c r="A250" s="482"/>
      <c r="C250" s="483"/>
      <c r="D250" s="483"/>
      <c r="E250" s="484"/>
      <c r="F250" s="483"/>
      <c r="G250" s="483"/>
      <c r="H250" s="483"/>
      <c r="I250" s="485"/>
      <c r="J250" s="486"/>
      <c r="K250" s="238"/>
      <c r="L250" s="238"/>
    </row>
    <row r="251">
      <c r="A251" s="482"/>
      <c r="C251" s="483"/>
      <c r="D251" s="483"/>
      <c r="E251" s="484"/>
      <c r="F251" s="483"/>
      <c r="G251" s="483"/>
      <c r="H251" s="483"/>
      <c r="I251" s="485"/>
      <c r="J251" s="486"/>
      <c r="K251" s="238"/>
      <c r="L251" s="238"/>
    </row>
    <row r="252">
      <c r="A252" s="482"/>
      <c r="C252" s="483"/>
      <c r="D252" s="483"/>
      <c r="E252" s="484"/>
      <c r="F252" s="483"/>
      <c r="G252" s="483"/>
      <c r="H252" s="483"/>
      <c r="I252" s="485"/>
      <c r="J252" s="486"/>
      <c r="K252" s="238"/>
      <c r="L252" s="238"/>
    </row>
    <row r="253">
      <c r="A253" s="482"/>
      <c r="C253" s="483"/>
      <c r="D253" s="483"/>
      <c r="E253" s="484"/>
      <c r="F253" s="483"/>
      <c r="G253" s="483"/>
      <c r="H253" s="483"/>
      <c r="I253" s="485"/>
      <c r="J253" s="486"/>
      <c r="K253" s="238"/>
      <c r="L253" s="238"/>
    </row>
    <row r="254">
      <c r="A254" s="482"/>
      <c r="C254" s="483"/>
      <c r="D254" s="483"/>
      <c r="E254" s="484"/>
      <c r="F254" s="483"/>
      <c r="G254" s="483"/>
      <c r="H254" s="483"/>
      <c r="I254" s="485"/>
      <c r="J254" s="486"/>
      <c r="K254" s="238"/>
      <c r="L254" s="238"/>
    </row>
    <row r="255">
      <c r="A255" s="482"/>
      <c r="C255" s="483"/>
      <c r="D255" s="483"/>
      <c r="E255" s="484"/>
      <c r="F255" s="483"/>
      <c r="G255" s="483"/>
      <c r="H255" s="483"/>
      <c r="I255" s="485"/>
      <c r="J255" s="486"/>
      <c r="K255" s="238"/>
      <c r="L255" s="238"/>
    </row>
    <row r="256">
      <c r="A256" s="482"/>
      <c r="C256" s="483"/>
      <c r="D256" s="483"/>
      <c r="E256" s="484"/>
      <c r="F256" s="483"/>
      <c r="G256" s="483"/>
      <c r="H256" s="483"/>
      <c r="I256" s="485"/>
      <c r="J256" s="486"/>
      <c r="K256" s="238"/>
      <c r="L256" s="238"/>
    </row>
    <row r="257">
      <c r="A257" s="482"/>
      <c r="C257" s="483"/>
      <c r="D257" s="483"/>
      <c r="E257" s="484"/>
      <c r="F257" s="483"/>
      <c r="G257" s="483"/>
      <c r="H257" s="483"/>
      <c r="I257" s="485"/>
      <c r="J257" s="486"/>
      <c r="K257" s="238"/>
      <c r="L257" s="238"/>
    </row>
    <row r="258">
      <c r="A258" s="482"/>
      <c r="C258" s="483"/>
      <c r="D258" s="483"/>
      <c r="E258" s="484"/>
      <c r="F258" s="483"/>
      <c r="G258" s="483"/>
      <c r="H258" s="483"/>
      <c r="I258" s="485"/>
      <c r="J258" s="486"/>
      <c r="K258" s="238"/>
      <c r="L258" s="238"/>
    </row>
    <row r="259">
      <c r="A259" s="482"/>
      <c r="C259" s="483"/>
      <c r="D259" s="483"/>
      <c r="E259" s="484"/>
      <c r="F259" s="483"/>
      <c r="G259" s="483"/>
      <c r="H259" s="483"/>
      <c r="I259" s="485"/>
      <c r="J259" s="486"/>
      <c r="K259" s="238"/>
      <c r="L259" s="238"/>
    </row>
    <row r="260">
      <c r="A260" s="482"/>
      <c r="C260" s="483"/>
      <c r="D260" s="483"/>
      <c r="E260" s="484"/>
      <c r="F260" s="483"/>
      <c r="G260" s="483"/>
      <c r="H260" s="483"/>
      <c r="I260" s="485"/>
      <c r="J260" s="486"/>
      <c r="K260" s="238"/>
      <c r="L260" s="238"/>
    </row>
    <row r="261">
      <c r="A261" s="482"/>
      <c r="C261" s="483"/>
      <c r="D261" s="483"/>
      <c r="E261" s="484"/>
      <c r="F261" s="483"/>
      <c r="G261" s="483"/>
      <c r="H261" s="483"/>
      <c r="I261" s="485"/>
      <c r="J261" s="486"/>
      <c r="K261" s="238"/>
      <c r="L261" s="238"/>
    </row>
    <row r="262">
      <c r="A262" s="482"/>
      <c r="C262" s="483"/>
      <c r="D262" s="483"/>
      <c r="E262" s="484"/>
      <c r="F262" s="483"/>
      <c r="G262" s="483"/>
      <c r="H262" s="483"/>
      <c r="I262" s="485"/>
      <c r="J262" s="486"/>
      <c r="K262" s="238"/>
      <c r="L262" s="238"/>
    </row>
    <row r="263">
      <c r="A263" s="482"/>
      <c r="C263" s="483"/>
      <c r="D263" s="483"/>
      <c r="E263" s="484"/>
      <c r="F263" s="483"/>
      <c r="G263" s="483"/>
      <c r="H263" s="483"/>
      <c r="I263" s="485"/>
      <c r="J263" s="486"/>
      <c r="K263" s="238"/>
      <c r="L263" s="238"/>
    </row>
    <row r="264">
      <c r="A264" s="482"/>
      <c r="C264" s="483"/>
      <c r="D264" s="483"/>
      <c r="E264" s="484"/>
      <c r="F264" s="483"/>
      <c r="G264" s="483"/>
      <c r="H264" s="483"/>
      <c r="I264" s="485"/>
      <c r="J264" s="486"/>
      <c r="K264" s="238"/>
      <c r="L264" s="238"/>
    </row>
    <row r="265">
      <c r="A265" s="482"/>
      <c r="C265" s="483"/>
      <c r="D265" s="483"/>
      <c r="E265" s="484"/>
      <c r="F265" s="483"/>
      <c r="G265" s="483"/>
      <c r="H265" s="483"/>
      <c r="I265" s="485"/>
      <c r="J265" s="486"/>
      <c r="K265" s="238"/>
      <c r="L265" s="238"/>
    </row>
    <row r="266">
      <c r="A266" s="482"/>
      <c r="C266" s="483"/>
      <c r="D266" s="483"/>
      <c r="E266" s="484"/>
      <c r="F266" s="483"/>
      <c r="G266" s="483"/>
      <c r="H266" s="483"/>
      <c r="I266" s="485"/>
      <c r="J266" s="486"/>
      <c r="K266" s="238"/>
      <c r="L266" s="238"/>
    </row>
    <row r="267">
      <c r="A267" s="482"/>
      <c r="C267" s="483"/>
      <c r="D267" s="483"/>
      <c r="E267" s="484"/>
      <c r="F267" s="483"/>
      <c r="G267" s="483"/>
      <c r="H267" s="483"/>
      <c r="I267" s="485"/>
      <c r="J267" s="486"/>
      <c r="K267" s="238"/>
      <c r="L267" s="238"/>
    </row>
    <row r="268">
      <c r="A268" s="482"/>
      <c r="C268" s="483"/>
      <c r="D268" s="483"/>
      <c r="E268" s="484"/>
      <c r="F268" s="483"/>
      <c r="G268" s="483"/>
      <c r="H268" s="483"/>
      <c r="I268" s="485"/>
      <c r="J268" s="486"/>
      <c r="K268" s="238"/>
      <c r="L268" s="238"/>
    </row>
    <row r="269">
      <c r="A269" s="482"/>
      <c r="C269" s="483"/>
      <c r="D269" s="483"/>
      <c r="E269" s="484"/>
      <c r="F269" s="483"/>
      <c r="G269" s="483"/>
      <c r="H269" s="483"/>
      <c r="I269" s="485"/>
      <c r="J269" s="486"/>
      <c r="K269" s="238"/>
      <c r="L269" s="238"/>
    </row>
    <row r="270">
      <c r="A270" s="482"/>
      <c r="C270" s="483"/>
      <c r="D270" s="483"/>
      <c r="E270" s="484"/>
      <c r="F270" s="483"/>
      <c r="G270" s="483"/>
      <c r="H270" s="483"/>
      <c r="I270" s="485"/>
      <c r="J270" s="486"/>
      <c r="K270" s="238"/>
      <c r="L270" s="238"/>
    </row>
    <row r="271">
      <c r="A271" s="482"/>
      <c r="C271" s="483"/>
      <c r="D271" s="483"/>
      <c r="E271" s="484"/>
      <c r="F271" s="483"/>
      <c r="G271" s="483"/>
      <c r="H271" s="483"/>
      <c r="I271" s="485"/>
      <c r="J271" s="486"/>
      <c r="K271" s="238"/>
      <c r="L271" s="238"/>
    </row>
    <row r="272">
      <c r="A272" s="482"/>
      <c r="C272" s="483"/>
      <c r="D272" s="483"/>
      <c r="E272" s="484"/>
      <c r="F272" s="483"/>
      <c r="G272" s="483"/>
      <c r="H272" s="483"/>
      <c r="I272" s="485"/>
      <c r="J272" s="486"/>
      <c r="K272" s="238"/>
      <c r="L272" s="238"/>
    </row>
    <row r="273">
      <c r="A273" s="482"/>
      <c r="C273" s="483"/>
      <c r="D273" s="483"/>
      <c r="E273" s="484"/>
      <c r="F273" s="483"/>
      <c r="G273" s="483"/>
      <c r="H273" s="483"/>
      <c r="I273" s="485"/>
      <c r="J273" s="486"/>
      <c r="K273" s="238"/>
      <c r="L273" s="238"/>
    </row>
    <row r="274">
      <c r="A274" s="482"/>
      <c r="C274" s="483"/>
      <c r="D274" s="483"/>
      <c r="E274" s="484"/>
      <c r="F274" s="483"/>
      <c r="G274" s="483"/>
      <c r="H274" s="483"/>
      <c r="I274" s="485"/>
      <c r="J274" s="486"/>
      <c r="K274" s="238"/>
      <c r="L274" s="238"/>
    </row>
    <row r="275">
      <c r="A275" s="482"/>
      <c r="C275" s="483"/>
      <c r="D275" s="483"/>
      <c r="E275" s="484"/>
      <c r="F275" s="483"/>
      <c r="G275" s="483"/>
      <c r="H275" s="483"/>
      <c r="I275" s="485"/>
      <c r="J275" s="486"/>
      <c r="K275" s="238"/>
      <c r="L275" s="238"/>
    </row>
    <row r="276">
      <c r="A276" s="482"/>
      <c r="C276" s="483"/>
      <c r="D276" s="483"/>
      <c r="E276" s="484"/>
      <c r="F276" s="483"/>
      <c r="G276" s="483"/>
      <c r="H276" s="483"/>
      <c r="I276" s="485"/>
      <c r="J276" s="486"/>
      <c r="K276" s="238"/>
      <c r="L276" s="238"/>
    </row>
    <row r="277">
      <c r="A277" s="482"/>
      <c r="C277" s="483"/>
      <c r="D277" s="483"/>
      <c r="E277" s="484"/>
      <c r="F277" s="483"/>
      <c r="G277" s="483"/>
      <c r="H277" s="483"/>
      <c r="I277" s="485"/>
      <c r="J277" s="486"/>
      <c r="K277" s="238"/>
      <c r="L277" s="238"/>
    </row>
    <row r="278">
      <c r="A278" s="482"/>
      <c r="C278" s="483"/>
      <c r="D278" s="483"/>
      <c r="E278" s="484"/>
      <c r="F278" s="483"/>
      <c r="G278" s="483"/>
      <c r="H278" s="483"/>
      <c r="I278" s="485"/>
      <c r="J278" s="486"/>
      <c r="K278" s="238"/>
      <c r="L278" s="238"/>
    </row>
    <row r="279">
      <c r="A279" s="482"/>
      <c r="C279" s="483"/>
      <c r="D279" s="483"/>
      <c r="E279" s="484"/>
      <c r="F279" s="483"/>
      <c r="G279" s="483"/>
      <c r="H279" s="483"/>
      <c r="I279" s="485"/>
      <c r="J279" s="486"/>
      <c r="K279" s="238"/>
      <c r="L279" s="238"/>
    </row>
    <row r="280">
      <c r="A280" s="482"/>
      <c r="C280" s="483"/>
      <c r="D280" s="483"/>
      <c r="E280" s="484"/>
      <c r="F280" s="483"/>
      <c r="G280" s="483"/>
      <c r="H280" s="483"/>
      <c r="I280" s="485"/>
      <c r="J280" s="486"/>
      <c r="K280" s="238"/>
      <c r="L280" s="238"/>
    </row>
    <row r="281">
      <c r="A281" s="482"/>
      <c r="C281" s="483"/>
      <c r="D281" s="483"/>
      <c r="E281" s="484"/>
      <c r="F281" s="483"/>
      <c r="G281" s="483"/>
      <c r="H281" s="483"/>
      <c r="I281" s="485"/>
      <c r="J281" s="486"/>
      <c r="K281" s="238"/>
      <c r="L281" s="238"/>
    </row>
    <row r="282">
      <c r="A282" s="482"/>
      <c r="C282" s="483"/>
      <c r="D282" s="483"/>
      <c r="E282" s="484"/>
      <c r="F282" s="483"/>
      <c r="G282" s="483"/>
      <c r="H282" s="483"/>
      <c r="I282" s="485"/>
      <c r="J282" s="486"/>
      <c r="K282" s="238"/>
      <c r="L282" s="238"/>
    </row>
    <row r="283">
      <c r="A283" s="482"/>
      <c r="C283" s="483"/>
      <c r="D283" s="483"/>
      <c r="E283" s="484"/>
      <c r="F283" s="483"/>
      <c r="G283" s="483"/>
      <c r="H283" s="483"/>
      <c r="I283" s="485"/>
      <c r="J283" s="486"/>
      <c r="K283" s="238"/>
      <c r="L283" s="238"/>
    </row>
    <row r="284">
      <c r="A284" s="482"/>
      <c r="C284" s="483"/>
      <c r="D284" s="483"/>
      <c r="E284" s="484"/>
      <c r="F284" s="483"/>
      <c r="G284" s="483"/>
      <c r="H284" s="483"/>
      <c r="I284" s="485"/>
      <c r="J284" s="486"/>
      <c r="K284" s="238"/>
      <c r="L284" s="238"/>
    </row>
    <row r="285">
      <c r="A285" s="482"/>
      <c r="C285" s="483"/>
      <c r="D285" s="483"/>
      <c r="E285" s="484"/>
      <c r="F285" s="483"/>
      <c r="G285" s="483"/>
      <c r="H285" s="483"/>
      <c r="I285" s="485"/>
      <c r="J285" s="486"/>
      <c r="K285" s="238"/>
      <c r="L285" s="238"/>
    </row>
    <row r="286">
      <c r="A286" s="482"/>
      <c r="C286" s="483"/>
      <c r="D286" s="483"/>
      <c r="E286" s="484"/>
      <c r="F286" s="483"/>
      <c r="G286" s="483"/>
      <c r="H286" s="483"/>
      <c r="I286" s="485"/>
      <c r="J286" s="486"/>
      <c r="K286" s="238"/>
      <c r="L286" s="238"/>
    </row>
    <row r="287">
      <c r="A287" s="482"/>
      <c r="C287" s="483"/>
      <c r="D287" s="483"/>
      <c r="E287" s="484"/>
      <c r="F287" s="483"/>
      <c r="G287" s="483"/>
      <c r="H287" s="483"/>
      <c r="I287" s="485"/>
      <c r="J287" s="486"/>
      <c r="K287" s="238"/>
      <c r="L287" s="238"/>
    </row>
    <row r="288">
      <c r="A288" s="482"/>
      <c r="C288" s="483"/>
      <c r="D288" s="483"/>
      <c r="E288" s="484"/>
      <c r="F288" s="483"/>
      <c r="G288" s="483"/>
      <c r="H288" s="483"/>
      <c r="I288" s="485"/>
      <c r="J288" s="486"/>
      <c r="K288" s="238"/>
      <c r="L288" s="238"/>
    </row>
    <row r="289">
      <c r="A289" s="482"/>
      <c r="C289" s="483"/>
      <c r="D289" s="483"/>
      <c r="E289" s="484"/>
      <c r="F289" s="483"/>
      <c r="G289" s="483"/>
      <c r="H289" s="483"/>
      <c r="I289" s="485"/>
      <c r="J289" s="486"/>
      <c r="K289" s="238"/>
      <c r="L289" s="238"/>
    </row>
    <row r="290">
      <c r="A290" s="482"/>
      <c r="C290" s="483"/>
      <c r="D290" s="483"/>
      <c r="E290" s="484"/>
      <c r="F290" s="483"/>
      <c r="G290" s="483"/>
      <c r="H290" s="483"/>
      <c r="I290" s="485"/>
      <c r="J290" s="486"/>
      <c r="K290" s="238"/>
      <c r="L290" s="238"/>
    </row>
    <row r="291">
      <c r="A291" s="482"/>
      <c r="C291" s="483"/>
      <c r="D291" s="483"/>
      <c r="E291" s="484"/>
      <c r="F291" s="483"/>
      <c r="G291" s="483"/>
      <c r="H291" s="483"/>
      <c r="I291" s="485"/>
      <c r="J291" s="486"/>
      <c r="K291" s="238"/>
      <c r="L291" s="238"/>
    </row>
    <row r="292">
      <c r="A292" s="482"/>
      <c r="C292" s="483"/>
      <c r="D292" s="483"/>
      <c r="E292" s="484"/>
      <c r="F292" s="483"/>
      <c r="G292" s="483"/>
      <c r="H292" s="483"/>
      <c r="I292" s="485"/>
      <c r="J292" s="486"/>
      <c r="K292" s="238"/>
      <c r="L292" s="238"/>
    </row>
    <row r="293">
      <c r="A293" s="482"/>
      <c r="C293" s="483"/>
      <c r="D293" s="483"/>
      <c r="E293" s="484"/>
      <c r="F293" s="483"/>
      <c r="G293" s="483"/>
      <c r="H293" s="483"/>
      <c r="I293" s="485"/>
      <c r="J293" s="486"/>
      <c r="K293" s="238"/>
      <c r="L293" s="238"/>
    </row>
    <row r="294">
      <c r="A294" s="482"/>
      <c r="C294" s="483"/>
      <c r="D294" s="483"/>
      <c r="E294" s="484"/>
      <c r="F294" s="483"/>
      <c r="G294" s="483"/>
      <c r="H294" s="483"/>
      <c r="I294" s="485"/>
      <c r="J294" s="486"/>
      <c r="K294" s="238"/>
      <c r="L294" s="238"/>
    </row>
    <row r="295">
      <c r="A295" s="482"/>
      <c r="C295" s="483"/>
      <c r="D295" s="483"/>
      <c r="E295" s="484"/>
      <c r="F295" s="483"/>
      <c r="G295" s="483"/>
      <c r="H295" s="483"/>
      <c r="I295" s="485"/>
      <c r="J295" s="486"/>
      <c r="K295" s="238"/>
      <c r="L295" s="238"/>
    </row>
    <row r="296">
      <c r="A296" s="482"/>
      <c r="C296" s="483"/>
      <c r="D296" s="483"/>
      <c r="E296" s="484"/>
      <c r="F296" s="483"/>
      <c r="G296" s="483"/>
      <c r="H296" s="483"/>
      <c r="I296" s="485"/>
      <c r="J296" s="486"/>
      <c r="K296" s="238"/>
      <c r="L296" s="238"/>
    </row>
    <row r="297">
      <c r="A297" s="482"/>
      <c r="C297" s="483"/>
      <c r="D297" s="483"/>
      <c r="E297" s="484"/>
      <c r="F297" s="483"/>
      <c r="G297" s="483"/>
      <c r="H297" s="483"/>
      <c r="I297" s="485"/>
      <c r="J297" s="486"/>
      <c r="K297" s="238"/>
      <c r="L297" s="238"/>
    </row>
    <row r="298">
      <c r="A298" s="482"/>
      <c r="C298" s="483"/>
      <c r="D298" s="483"/>
      <c r="E298" s="484"/>
      <c r="F298" s="483"/>
      <c r="G298" s="483"/>
      <c r="H298" s="483"/>
      <c r="I298" s="485"/>
      <c r="J298" s="486"/>
      <c r="K298" s="238"/>
      <c r="L298" s="238"/>
    </row>
    <row r="299">
      <c r="A299" s="482"/>
      <c r="C299" s="483"/>
      <c r="D299" s="483"/>
      <c r="E299" s="484"/>
      <c r="F299" s="483"/>
      <c r="G299" s="483"/>
      <c r="H299" s="483"/>
      <c r="I299" s="485"/>
      <c r="J299" s="486"/>
      <c r="K299" s="238"/>
      <c r="L299" s="238"/>
    </row>
    <row r="300">
      <c r="A300" s="482"/>
      <c r="C300" s="483"/>
      <c r="D300" s="483"/>
      <c r="E300" s="484"/>
      <c r="F300" s="483"/>
      <c r="G300" s="483"/>
      <c r="H300" s="483"/>
      <c r="I300" s="485"/>
      <c r="J300" s="486"/>
      <c r="K300" s="238"/>
      <c r="L300" s="238"/>
    </row>
    <row r="301">
      <c r="A301" s="482"/>
      <c r="C301" s="483"/>
      <c r="D301" s="483"/>
      <c r="E301" s="484"/>
      <c r="F301" s="483"/>
      <c r="G301" s="483"/>
      <c r="H301" s="483"/>
      <c r="I301" s="485"/>
      <c r="J301" s="486"/>
      <c r="K301" s="238"/>
      <c r="L301" s="238"/>
    </row>
    <row r="302">
      <c r="A302" s="482"/>
      <c r="C302" s="483"/>
      <c r="D302" s="483"/>
      <c r="E302" s="484"/>
      <c r="F302" s="483"/>
      <c r="G302" s="483"/>
      <c r="H302" s="483"/>
      <c r="I302" s="485"/>
      <c r="J302" s="486"/>
      <c r="K302" s="238"/>
      <c r="L302" s="238"/>
    </row>
    <row r="303">
      <c r="A303" s="482"/>
      <c r="C303" s="483"/>
      <c r="D303" s="483"/>
      <c r="E303" s="484"/>
      <c r="F303" s="483"/>
      <c r="G303" s="483"/>
      <c r="H303" s="483"/>
      <c r="I303" s="485"/>
      <c r="J303" s="486"/>
      <c r="K303" s="238"/>
      <c r="L303" s="238"/>
    </row>
    <row r="304">
      <c r="A304" s="482"/>
      <c r="C304" s="483"/>
      <c r="D304" s="483"/>
      <c r="E304" s="484"/>
      <c r="F304" s="483"/>
      <c r="G304" s="483"/>
      <c r="H304" s="483"/>
      <c r="I304" s="485"/>
      <c r="J304" s="486"/>
      <c r="K304" s="238"/>
      <c r="L304" s="238"/>
    </row>
    <row r="305">
      <c r="A305" s="482"/>
      <c r="C305" s="483"/>
      <c r="D305" s="483"/>
      <c r="E305" s="484"/>
      <c r="F305" s="483"/>
      <c r="G305" s="483"/>
      <c r="H305" s="483"/>
      <c r="I305" s="485"/>
      <c r="J305" s="486"/>
      <c r="K305" s="238"/>
      <c r="L305" s="238"/>
    </row>
    <row r="306">
      <c r="A306" s="482"/>
      <c r="C306" s="483"/>
      <c r="D306" s="483"/>
      <c r="E306" s="484"/>
      <c r="F306" s="483"/>
      <c r="G306" s="483"/>
      <c r="H306" s="483"/>
      <c r="I306" s="485"/>
      <c r="J306" s="486"/>
      <c r="K306" s="238"/>
      <c r="L306" s="238"/>
    </row>
    <row r="307">
      <c r="A307" s="482"/>
      <c r="C307" s="483"/>
      <c r="D307" s="483"/>
      <c r="E307" s="484"/>
      <c r="F307" s="483"/>
      <c r="G307" s="483"/>
      <c r="H307" s="483"/>
      <c r="I307" s="485"/>
      <c r="J307" s="486"/>
      <c r="K307" s="238"/>
      <c r="L307" s="238"/>
    </row>
    <row r="308">
      <c r="A308" s="482"/>
      <c r="C308" s="483"/>
      <c r="D308" s="483"/>
      <c r="E308" s="484"/>
      <c r="F308" s="483"/>
      <c r="G308" s="483"/>
      <c r="H308" s="483"/>
      <c r="I308" s="485"/>
      <c r="J308" s="486"/>
      <c r="K308" s="238"/>
      <c r="L308" s="238"/>
    </row>
    <row r="309">
      <c r="A309" s="482"/>
      <c r="C309" s="483"/>
      <c r="D309" s="483"/>
      <c r="E309" s="484"/>
      <c r="F309" s="483"/>
      <c r="G309" s="483"/>
      <c r="H309" s="483"/>
      <c r="I309" s="485"/>
      <c r="J309" s="486"/>
      <c r="K309" s="238"/>
      <c r="L309" s="238"/>
    </row>
    <row r="310">
      <c r="A310" s="482"/>
      <c r="C310" s="483"/>
      <c r="D310" s="483"/>
      <c r="E310" s="484"/>
      <c r="F310" s="483"/>
      <c r="G310" s="483"/>
      <c r="H310" s="483"/>
      <c r="I310" s="485"/>
      <c r="J310" s="486"/>
      <c r="K310" s="238"/>
      <c r="L310" s="238"/>
    </row>
    <row r="311">
      <c r="A311" s="482"/>
      <c r="C311" s="483"/>
      <c r="D311" s="483"/>
      <c r="E311" s="484"/>
      <c r="F311" s="483"/>
      <c r="G311" s="483"/>
      <c r="H311" s="483"/>
      <c r="I311" s="485"/>
      <c r="J311" s="486"/>
      <c r="K311" s="238"/>
      <c r="L311" s="238"/>
    </row>
    <row r="312">
      <c r="A312" s="482"/>
      <c r="C312" s="483"/>
      <c r="D312" s="483"/>
      <c r="E312" s="484"/>
      <c r="F312" s="483"/>
      <c r="G312" s="483"/>
      <c r="H312" s="483"/>
      <c r="I312" s="485"/>
      <c r="J312" s="486"/>
      <c r="K312" s="238"/>
      <c r="L312" s="238"/>
    </row>
    <row r="313">
      <c r="A313" s="482"/>
      <c r="C313" s="483"/>
      <c r="D313" s="483"/>
      <c r="E313" s="484"/>
      <c r="F313" s="483"/>
      <c r="G313" s="483"/>
      <c r="H313" s="483"/>
      <c r="I313" s="485"/>
      <c r="J313" s="486"/>
      <c r="K313" s="238"/>
      <c r="L313" s="238"/>
    </row>
    <row r="314">
      <c r="A314" s="482"/>
      <c r="C314" s="483"/>
      <c r="D314" s="483"/>
      <c r="E314" s="484"/>
      <c r="F314" s="483"/>
      <c r="G314" s="483"/>
      <c r="H314" s="483"/>
      <c r="I314" s="485"/>
      <c r="J314" s="486"/>
      <c r="K314" s="238"/>
      <c r="L314" s="238"/>
    </row>
    <row r="315">
      <c r="A315" s="482"/>
      <c r="C315" s="483"/>
      <c r="D315" s="483"/>
      <c r="E315" s="484"/>
      <c r="F315" s="483"/>
      <c r="G315" s="483"/>
      <c r="H315" s="483"/>
      <c r="I315" s="485"/>
      <c r="J315" s="486"/>
      <c r="K315" s="238"/>
      <c r="L315" s="238"/>
    </row>
    <row r="316">
      <c r="A316" s="482"/>
      <c r="C316" s="483"/>
      <c r="D316" s="483"/>
      <c r="E316" s="484"/>
      <c r="F316" s="483"/>
      <c r="G316" s="483"/>
      <c r="H316" s="483"/>
      <c r="I316" s="485"/>
      <c r="J316" s="486"/>
      <c r="K316" s="238"/>
      <c r="L316" s="238"/>
    </row>
    <row r="317">
      <c r="A317" s="482"/>
      <c r="C317" s="483"/>
      <c r="D317" s="483"/>
      <c r="E317" s="484"/>
      <c r="F317" s="483"/>
      <c r="G317" s="483"/>
      <c r="H317" s="483"/>
      <c r="I317" s="485"/>
      <c r="J317" s="486"/>
      <c r="K317" s="238"/>
      <c r="L317" s="238"/>
    </row>
    <row r="318">
      <c r="A318" s="482"/>
      <c r="C318" s="483"/>
      <c r="D318" s="483"/>
      <c r="E318" s="484"/>
      <c r="F318" s="483"/>
      <c r="G318" s="483"/>
      <c r="H318" s="483"/>
      <c r="I318" s="485"/>
      <c r="J318" s="486"/>
      <c r="K318" s="238"/>
      <c r="L318" s="238"/>
    </row>
    <row r="319">
      <c r="A319" s="482"/>
      <c r="C319" s="483"/>
      <c r="D319" s="483"/>
      <c r="E319" s="484"/>
      <c r="F319" s="483"/>
      <c r="G319" s="483"/>
      <c r="H319" s="483"/>
      <c r="I319" s="485"/>
      <c r="J319" s="486"/>
      <c r="K319" s="238"/>
      <c r="L319" s="238"/>
    </row>
    <row r="320">
      <c r="A320" s="482"/>
      <c r="C320" s="483"/>
      <c r="D320" s="483"/>
      <c r="E320" s="484"/>
      <c r="F320" s="483"/>
      <c r="G320" s="483"/>
      <c r="H320" s="483"/>
      <c r="I320" s="485"/>
      <c r="J320" s="486"/>
      <c r="K320" s="238"/>
      <c r="L320" s="238"/>
    </row>
    <row r="321">
      <c r="A321" s="482"/>
      <c r="C321" s="483"/>
      <c r="D321" s="483"/>
      <c r="E321" s="484"/>
      <c r="F321" s="483"/>
      <c r="G321" s="483"/>
      <c r="H321" s="483"/>
      <c r="I321" s="485"/>
      <c r="J321" s="486"/>
      <c r="K321" s="238"/>
      <c r="L321" s="238"/>
    </row>
    <row r="322">
      <c r="A322" s="482"/>
      <c r="C322" s="483"/>
      <c r="D322" s="483"/>
      <c r="E322" s="484"/>
      <c r="F322" s="483"/>
      <c r="G322" s="483"/>
      <c r="H322" s="483"/>
      <c r="I322" s="485"/>
      <c r="J322" s="486"/>
      <c r="K322" s="238"/>
      <c r="L322" s="238"/>
    </row>
    <row r="323">
      <c r="A323" s="482"/>
      <c r="C323" s="483"/>
      <c r="D323" s="483"/>
      <c r="E323" s="484"/>
      <c r="F323" s="483"/>
      <c r="G323" s="483"/>
      <c r="H323" s="483"/>
      <c r="I323" s="485"/>
      <c r="J323" s="486"/>
      <c r="K323" s="238"/>
      <c r="L323" s="238"/>
    </row>
    <row r="324">
      <c r="A324" s="482"/>
      <c r="C324" s="483"/>
      <c r="D324" s="483"/>
      <c r="E324" s="484"/>
      <c r="F324" s="483"/>
      <c r="G324" s="483"/>
      <c r="H324" s="483"/>
      <c r="I324" s="485"/>
      <c r="J324" s="486"/>
      <c r="K324" s="238"/>
      <c r="L324" s="238"/>
    </row>
    <row r="325">
      <c r="A325" s="482"/>
      <c r="C325" s="483"/>
      <c r="D325" s="483"/>
      <c r="E325" s="484"/>
      <c r="F325" s="483"/>
      <c r="G325" s="483"/>
      <c r="H325" s="483"/>
      <c r="I325" s="485"/>
      <c r="J325" s="486"/>
      <c r="K325" s="238"/>
      <c r="L325" s="238"/>
    </row>
    <row r="326">
      <c r="A326" s="482"/>
      <c r="C326" s="483"/>
      <c r="D326" s="483"/>
      <c r="E326" s="484"/>
      <c r="F326" s="483"/>
      <c r="G326" s="483"/>
      <c r="H326" s="483"/>
      <c r="I326" s="485"/>
      <c r="J326" s="486"/>
      <c r="K326" s="238"/>
      <c r="L326" s="238"/>
    </row>
    <row r="327">
      <c r="A327" s="482"/>
      <c r="C327" s="483"/>
      <c r="D327" s="483"/>
      <c r="E327" s="484"/>
      <c r="F327" s="483"/>
      <c r="G327" s="483"/>
      <c r="H327" s="483"/>
      <c r="I327" s="485"/>
      <c r="J327" s="486"/>
      <c r="K327" s="238"/>
      <c r="L327" s="238"/>
    </row>
    <row r="328">
      <c r="A328" s="482"/>
      <c r="C328" s="483"/>
      <c r="D328" s="483"/>
      <c r="E328" s="484"/>
      <c r="F328" s="483"/>
      <c r="G328" s="483"/>
      <c r="H328" s="483"/>
      <c r="I328" s="485"/>
      <c r="J328" s="486"/>
      <c r="K328" s="238"/>
      <c r="L328" s="238"/>
    </row>
    <row r="329">
      <c r="A329" s="482"/>
      <c r="C329" s="483"/>
      <c r="D329" s="483"/>
      <c r="E329" s="484"/>
      <c r="F329" s="483"/>
      <c r="G329" s="483"/>
      <c r="H329" s="483"/>
      <c r="I329" s="485"/>
      <c r="J329" s="486"/>
      <c r="K329" s="238"/>
      <c r="L329" s="238"/>
    </row>
    <row r="330">
      <c r="A330" s="482"/>
      <c r="C330" s="483"/>
      <c r="D330" s="483"/>
      <c r="E330" s="484"/>
      <c r="F330" s="483"/>
      <c r="G330" s="483"/>
      <c r="H330" s="483"/>
      <c r="I330" s="485"/>
      <c r="J330" s="486"/>
      <c r="K330" s="238"/>
      <c r="L330" s="238"/>
    </row>
    <row r="331">
      <c r="A331" s="482"/>
      <c r="C331" s="483"/>
      <c r="D331" s="483"/>
      <c r="E331" s="484"/>
      <c r="F331" s="483"/>
      <c r="G331" s="483"/>
      <c r="H331" s="483"/>
      <c r="I331" s="485"/>
      <c r="J331" s="486"/>
      <c r="K331" s="238"/>
      <c r="L331" s="238"/>
    </row>
    <row r="332">
      <c r="A332" s="482"/>
      <c r="C332" s="483"/>
      <c r="D332" s="483"/>
      <c r="E332" s="484"/>
      <c r="F332" s="483"/>
      <c r="G332" s="483"/>
      <c r="H332" s="483"/>
      <c r="I332" s="485"/>
      <c r="J332" s="486"/>
      <c r="K332" s="238"/>
      <c r="L332" s="238"/>
    </row>
    <row r="333">
      <c r="A333" s="482"/>
      <c r="C333" s="483"/>
      <c r="D333" s="483"/>
      <c r="E333" s="484"/>
      <c r="F333" s="483"/>
      <c r="G333" s="483"/>
      <c r="H333" s="483"/>
      <c r="I333" s="485"/>
      <c r="J333" s="486"/>
      <c r="K333" s="238"/>
      <c r="L333" s="238"/>
    </row>
    <row r="334">
      <c r="A334" s="482"/>
      <c r="C334" s="483"/>
      <c r="D334" s="483"/>
      <c r="E334" s="484"/>
      <c r="F334" s="483"/>
      <c r="G334" s="483"/>
      <c r="H334" s="483"/>
      <c r="I334" s="485"/>
      <c r="J334" s="486"/>
      <c r="K334" s="238"/>
      <c r="L334" s="238"/>
    </row>
    <row r="335">
      <c r="A335" s="482"/>
      <c r="C335" s="483"/>
      <c r="D335" s="483"/>
      <c r="E335" s="484"/>
      <c r="F335" s="483"/>
      <c r="G335" s="483"/>
      <c r="H335" s="483"/>
      <c r="I335" s="485"/>
      <c r="J335" s="486"/>
      <c r="K335" s="238"/>
      <c r="L335" s="238"/>
    </row>
    <row r="336">
      <c r="A336" s="482"/>
      <c r="C336" s="483"/>
      <c r="D336" s="483"/>
      <c r="E336" s="484"/>
      <c r="F336" s="483"/>
      <c r="G336" s="483"/>
      <c r="H336" s="483"/>
      <c r="I336" s="485"/>
      <c r="J336" s="486"/>
      <c r="K336" s="238"/>
      <c r="L336" s="238"/>
    </row>
    <row r="337">
      <c r="A337" s="482"/>
      <c r="C337" s="483"/>
      <c r="D337" s="483"/>
      <c r="E337" s="484"/>
      <c r="F337" s="483"/>
      <c r="G337" s="483"/>
      <c r="H337" s="483"/>
      <c r="I337" s="485"/>
      <c r="J337" s="486"/>
      <c r="K337" s="238"/>
      <c r="L337" s="238"/>
    </row>
    <row r="338">
      <c r="A338" s="482"/>
      <c r="C338" s="483"/>
      <c r="D338" s="483"/>
      <c r="E338" s="484"/>
      <c r="F338" s="483"/>
      <c r="G338" s="483"/>
      <c r="H338" s="483"/>
      <c r="I338" s="485"/>
      <c r="J338" s="486"/>
      <c r="K338" s="238"/>
      <c r="L338" s="238"/>
    </row>
    <row r="339">
      <c r="A339" s="482"/>
      <c r="C339" s="483"/>
      <c r="D339" s="483"/>
      <c r="E339" s="484"/>
      <c r="F339" s="483"/>
      <c r="G339" s="483"/>
      <c r="H339" s="483"/>
      <c r="I339" s="485"/>
      <c r="J339" s="486"/>
      <c r="K339" s="238"/>
      <c r="L339" s="238"/>
    </row>
    <row r="340">
      <c r="A340" s="482"/>
      <c r="C340" s="483"/>
      <c r="D340" s="483"/>
      <c r="E340" s="484"/>
      <c r="F340" s="483"/>
      <c r="G340" s="483"/>
      <c r="H340" s="483"/>
      <c r="I340" s="485"/>
      <c r="J340" s="486"/>
      <c r="K340" s="238"/>
      <c r="L340" s="238"/>
    </row>
    <row r="341">
      <c r="A341" s="482"/>
      <c r="C341" s="483"/>
      <c r="D341" s="483"/>
      <c r="E341" s="484"/>
      <c r="F341" s="483"/>
      <c r="G341" s="483"/>
      <c r="H341" s="483"/>
      <c r="I341" s="485"/>
      <c r="J341" s="486"/>
      <c r="K341" s="238"/>
      <c r="L341" s="238"/>
    </row>
    <row r="342">
      <c r="A342" s="482"/>
      <c r="C342" s="483"/>
      <c r="D342" s="483"/>
      <c r="E342" s="484"/>
      <c r="F342" s="483"/>
      <c r="G342" s="483"/>
      <c r="H342" s="483"/>
      <c r="I342" s="485"/>
      <c r="J342" s="486"/>
      <c r="K342" s="238"/>
      <c r="L342" s="238"/>
    </row>
    <row r="343">
      <c r="A343" s="482"/>
      <c r="C343" s="483"/>
      <c r="D343" s="483"/>
      <c r="E343" s="484"/>
      <c r="F343" s="483"/>
      <c r="G343" s="483"/>
      <c r="H343" s="483"/>
      <c r="I343" s="485"/>
      <c r="J343" s="486"/>
      <c r="K343" s="238"/>
      <c r="L343" s="238"/>
    </row>
    <row r="344">
      <c r="A344" s="482"/>
      <c r="C344" s="483"/>
      <c r="D344" s="483"/>
      <c r="E344" s="484"/>
      <c r="F344" s="483"/>
      <c r="G344" s="483"/>
      <c r="H344" s="483"/>
      <c r="I344" s="485"/>
      <c r="J344" s="486"/>
      <c r="K344" s="238"/>
      <c r="L344" s="238"/>
    </row>
    <row r="345">
      <c r="A345" s="482"/>
      <c r="C345" s="483"/>
      <c r="D345" s="483"/>
      <c r="E345" s="484"/>
      <c r="F345" s="483"/>
      <c r="G345" s="483"/>
      <c r="H345" s="483"/>
      <c r="I345" s="485"/>
      <c r="J345" s="486"/>
      <c r="K345" s="238"/>
      <c r="L345" s="238"/>
    </row>
    <row r="346">
      <c r="A346" s="482"/>
      <c r="C346" s="483"/>
      <c r="D346" s="483"/>
      <c r="E346" s="484"/>
      <c r="F346" s="483"/>
      <c r="G346" s="483"/>
      <c r="H346" s="483"/>
      <c r="I346" s="485"/>
      <c r="J346" s="486"/>
      <c r="K346" s="238"/>
      <c r="L346" s="238"/>
    </row>
    <row r="347">
      <c r="A347" s="482"/>
      <c r="C347" s="483"/>
      <c r="D347" s="483"/>
      <c r="E347" s="484"/>
      <c r="F347" s="483"/>
      <c r="G347" s="483"/>
      <c r="H347" s="483"/>
      <c r="I347" s="485"/>
      <c r="J347" s="486"/>
      <c r="K347" s="238"/>
      <c r="L347" s="238"/>
    </row>
    <row r="348">
      <c r="A348" s="482"/>
      <c r="C348" s="483"/>
      <c r="D348" s="483"/>
      <c r="E348" s="484"/>
      <c r="F348" s="483"/>
      <c r="G348" s="483"/>
      <c r="H348" s="483"/>
      <c r="I348" s="485"/>
      <c r="J348" s="486"/>
      <c r="K348" s="238"/>
      <c r="L348" s="238"/>
    </row>
    <row r="349">
      <c r="A349" s="482"/>
      <c r="C349" s="483"/>
      <c r="D349" s="483"/>
      <c r="E349" s="484"/>
      <c r="F349" s="483"/>
      <c r="G349" s="483"/>
      <c r="H349" s="483"/>
      <c r="I349" s="485"/>
      <c r="J349" s="486"/>
      <c r="K349" s="238"/>
      <c r="L349" s="238"/>
    </row>
    <row r="350">
      <c r="A350" s="482"/>
      <c r="C350" s="483"/>
      <c r="D350" s="483"/>
      <c r="E350" s="484"/>
      <c r="F350" s="483"/>
      <c r="G350" s="483"/>
      <c r="H350" s="483"/>
      <c r="I350" s="485"/>
      <c r="J350" s="486"/>
      <c r="K350" s="238"/>
      <c r="L350" s="238"/>
    </row>
    <row r="351">
      <c r="A351" s="482"/>
      <c r="C351" s="483"/>
      <c r="D351" s="483"/>
      <c r="E351" s="484"/>
      <c r="F351" s="483"/>
      <c r="G351" s="483"/>
      <c r="H351" s="483"/>
      <c r="I351" s="485"/>
      <c r="J351" s="486"/>
      <c r="K351" s="238"/>
      <c r="L351" s="238"/>
    </row>
    <row r="352">
      <c r="A352" s="482"/>
      <c r="C352" s="483"/>
      <c r="D352" s="483"/>
      <c r="E352" s="484"/>
      <c r="F352" s="483"/>
      <c r="G352" s="483"/>
      <c r="H352" s="483"/>
      <c r="I352" s="485"/>
      <c r="J352" s="486"/>
      <c r="K352" s="238"/>
      <c r="L352" s="238"/>
    </row>
    <row r="353">
      <c r="A353" s="482"/>
      <c r="C353" s="483"/>
      <c r="D353" s="483"/>
      <c r="E353" s="484"/>
      <c r="F353" s="483"/>
      <c r="G353" s="483"/>
      <c r="H353" s="483"/>
      <c r="I353" s="485"/>
      <c r="J353" s="486"/>
      <c r="K353" s="238"/>
      <c r="L353" s="238"/>
    </row>
    <row r="354">
      <c r="A354" s="482"/>
      <c r="C354" s="483"/>
      <c r="D354" s="483"/>
      <c r="E354" s="484"/>
      <c r="F354" s="483"/>
      <c r="G354" s="483"/>
      <c r="H354" s="483"/>
      <c r="I354" s="485"/>
      <c r="J354" s="486"/>
      <c r="K354" s="238"/>
      <c r="L354" s="238"/>
    </row>
    <row r="355">
      <c r="A355" s="482"/>
      <c r="C355" s="483"/>
      <c r="D355" s="483"/>
      <c r="E355" s="484"/>
      <c r="F355" s="483"/>
      <c r="G355" s="483"/>
      <c r="H355" s="483"/>
      <c r="I355" s="485"/>
      <c r="J355" s="486"/>
      <c r="K355" s="238"/>
      <c r="L355" s="238"/>
    </row>
    <row r="356">
      <c r="A356" s="482"/>
      <c r="C356" s="483"/>
      <c r="D356" s="483"/>
      <c r="E356" s="484"/>
      <c r="F356" s="483"/>
      <c r="G356" s="483"/>
      <c r="H356" s="483"/>
      <c r="I356" s="485"/>
      <c r="J356" s="486"/>
      <c r="K356" s="238"/>
      <c r="L356" s="238"/>
    </row>
    <row r="357">
      <c r="A357" s="482"/>
      <c r="C357" s="483"/>
      <c r="D357" s="483"/>
      <c r="E357" s="484"/>
      <c r="F357" s="483"/>
      <c r="G357" s="483"/>
      <c r="H357" s="483"/>
      <c r="I357" s="485"/>
      <c r="J357" s="486"/>
      <c r="K357" s="238"/>
      <c r="L357" s="238"/>
    </row>
    <row r="358">
      <c r="A358" s="482"/>
      <c r="C358" s="483"/>
      <c r="D358" s="483"/>
      <c r="E358" s="484"/>
      <c r="F358" s="483"/>
      <c r="G358" s="483"/>
      <c r="H358" s="483"/>
      <c r="I358" s="485"/>
      <c r="J358" s="486"/>
      <c r="K358" s="238"/>
      <c r="L358" s="238"/>
    </row>
    <row r="359">
      <c r="A359" s="482"/>
      <c r="C359" s="483"/>
      <c r="D359" s="483"/>
      <c r="E359" s="484"/>
      <c r="F359" s="483"/>
      <c r="G359" s="483"/>
      <c r="H359" s="483"/>
      <c r="I359" s="485"/>
      <c r="J359" s="486"/>
      <c r="K359" s="238"/>
      <c r="L359" s="238"/>
    </row>
    <row r="360">
      <c r="A360" s="482"/>
      <c r="C360" s="483"/>
      <c r="D360" s="483"/>
      <c r="E360" s="484"/>
      <c r="F360" s="483"/>
      <c r="G360" s="483"/>
      <c r="H360" s="483"/>
      <c r="I360" s="485"/>
      <c r="J360" s="486"/>
      <c r="K360" s="238"/>
      <c r="L360" s="238"/>
    </row>
    <row r="361">
      <c r="A361" s="482"/>
      <c r="C361" s="483"/>
      <c r="D361" s="483"/>
      <c r="E361" s="484"/>
      <c r="F361" s="483"/>
      <c r="G361" s="483"/>
      <c r="H361" s="483"/>
      <c r="I361" s="485"/>
      <c r="J361" s="486"/>
      <c r="K361" s="238"/>
      <c r="L361" s="238"/>
    </row>
    <row r="362">
      <c r="A362" s="482"/>
      <c r="C362" s="483"/>
      <c r="D362" s="483"/>
      <c r="E362" s="484"/>
      <c r="F362" s="483"/>
      <c r="G362" s="483"/>
      <c r="H362" s="483"/>
      <c r="I362" s="485"/>
      <c r="J362" s="486"/>
      <c r="K362" s="238"/>
      <c r="L362" s="238"/>
    </row>
    <row r="363">
      <c r="A363" s="482"/>
      <c r="C363" s="483"/>
      <c r="D363" s="483"/>
      <c r="E363" s="484"/>
      <c r="F363" s="483"/>
      <c r="G363" s="483"/>
      <c r="H363" s="483"/>
      <c r="I363" s="485"/>
      <c r="J363" s="486"/>
      <c r="K363" s="238"/>
      <c r="L363" s="238"/>
    </row>
    <row r="364">
      <c r="A364" s="482"/>
      <c r="C364" s="483"/>
      <c r="D364" s="483"/>
      <c r="E364" s="484"/>
      <c r="F364" s="483"/>
      <c r="G364" s="483"/>
      <c r="H364" s="483"/>
      <c r="I364" s="485"/>
      <c r="J364" s="486"/>
      <c r="K364" s="238"/>
      <c r="L364" s="238"/>
    </row>
    <row r="365">
      <c r="A365" s="482"/>
      <c r="C365" s="483"/>
      <c r="D365" s="483"/>
      <c r="E365" s="484"/>
      <c r="F365" s="483"/>
      <c r="G365" s="483"/>
      <c r="H365" s="483"/>
      <c r="I365" s="485"/>
      <c r="J365" s="486"/>
      <c r="K365" s="238"/>
      <c r="L365" s="238"/>
    </row>
    <row r="366">
      <c r="A366" s="482"/>
      <c r="C366" s="483"/>
      <c r="D366" s="483"/>
      <c r="E366" s="484"/>
      <c r="F366" s="483"/>
      <c r="G366" s="483"/>
      <c r="H366" s="483"/>
      <c r="I366" s="485"/>
      <c r="J366" s="486"/>
      <c r="K366" s="238"/>
      <c r="L366" s="238"/>
    </row>
    <row r="367">
      <c r="A367" s="482"/>
      <c r="C367" s="483"/>
      <c r="D367" s="483"/>
      <c r="E367" s="484"/>
      <c r="F367" s="483"/>
      <c r="G367" s="483"/>
      <c r="H367" s="483"/>
      <c r="I367" s="485"/>
      <c r="J367" s="486"/>
      <c r="K367" s="238"/>
      <c r="L367" s="238"/>
    </row>
    <row r="368">
      <c r="A368" s="482"/>
      <c r="C368" s="483"/>
      <c r="D368" s="483"/>
      <c r="E368" s="484"/>
      <c r="F368" s="483"/>
      <c r="G368" s="483"/>
      <c r="H368" s="483"/>
      <c r="I368" s="485"/>
      <c r="J368" s="486"/>
      <c r="K368" s="238"/>
      <c r="L368" s="238"/>
    </row>
    <row r="369">
      <c r="A369" s="482"/>
      <c r="C369" s="483"/>
      <c r="D369" s="483"/>
      <c r="E369" s="484"/>
      <c r="F369" s="483"/>
      <c r="G369" s="483"/>
      <c r="H369" s="483"/>
      <c r="I369" s="485"/>
      <c r="J369" s="486"/>
      <c r="K369" s="238"/>
      <c r="L369" s="238"/>
    </row>
    <row r="370">
      <c r="A370" s="482"/>
      <c r="C370" s="483"/>
      <c r="D370" s="483"/>
      <c r="E370" s="484"/>
      <c r="F370" s="483"/>
      <c r="G370" s="483"/>
      <c r="H370" s="483"/>
      <c r="I370" s="485"/>
      <c r="J370" s="486"/>
      <c r="K370" s="238"/>
      <c r="L370" s="238"/>
    </row>
    <row r="371">
      <c r="A371" s="482"/>
      <c r="C371" s="483"/>
      <c r="D371" s="483"/>
      <c r="E371" s="484"/>
      <c r="F371" s="483"/>
      <c r="G371" s="483"/>
      <c r="H371" s="483"/>
      <c r="I371" s="485"/>
      <c r="J371" s="486"/>
      <c r="K371" s="238"/>
      <c r="L371" s="238"/>
    </row>
    <row r="372">
      <c r="A372" s="482"/>
      <c r="C372" s="483"/>
      <c r="D372" s="483"/>
      <c r="E372" s="484"/>
      <c r="F372" s="483"/>
      <c r="G372" s="483"/>
      <c r="H372" s="483"/>
      <c r="I372" s="485"/>
      <c r="J372" s="486"/>
      <c r="K372" s="238"/>
      <c r="L372" s="238"/>
    </row>
    <row r="373">
      <c r="A373" s="482"/>
      <c r="C373" s="483"/>
      <c r="D373" s="483"/>
      <c r="E373" s="484"/>
      <c r="F373" s="483"/>
      <c r="G373" s="483"/>
      <c r="H373" s="483"/>
      <c r="I373" s="485"/>
      <c r="J373" s="486"/>
      <c r="K373" s="238"/>
      <c r="L373" s="238"/>
    </row>
    <row r="374">
      <c r="A374" s="482"/>
      <c r="C374" s="483"/>
      <c r="D374" s="483"/>
      <c r="E374" s="484"/>
      <c r="F374" s="483"/>
      <c r="G374" s="483"/>
      <c r="H374" s="483"/>
      <c r="I374" s="485"/>
      <c r="J374" s="486"/>
      <c r="K374" s="238"/>
      <c r="L374" s="238"/>
    </row>
    <row r="375">
      <c r="A375" s="482"/>
      <c r="C375" s="483"/>
      <c r="D375" s="483"/>
      <c r="E375" s="484"/>
      <c r="F375" s="483"/>
      <c r="G375" s="483"/>
      <c r="H375" s="483"/>
      <c r="I375" s="485"/>
      <c r="J375" s="486"/>
      <c r="K375" s="238"/>
      <c r="L375" s="238"/>
    </row>
    <row r="376">
      <c r="A376" s="482"/>
      <c r="C376" s="483"/>
      <c r="D376" s="483"/>
      <c r="E376" s="484"/>
      <c r="F376" s="483"/>
      <c r="G376" s="483"/>
      <c r="H376" s="483"/>
      <c r="I376" s="485"/>
      <c r="J376" s="486"/>
      <c r="K376" s="238"/>
      <c r="L376" s="238"/>
    </row>
    <row r="377">
      <c r="A377" s="482"/>
      <c r="C377" s="483"/>
      <c r="D377" s="483"/>
      <c r="E377" s="484"/>
      <c r="F377" s="483"/>
      <c r="G377" s="483"/>
      <c r="H377" s="483"/>
      <c r="I377" s="485"/>
      <c r="J377" s="486"/>
      <c r="K377" s="238"/>
      <c r="L377" s="238"/>
    </row>
    <row r="378">
      <c r="A378" s="482"/>
      <c r="C378" s="483"/>
      <c r="D378" s="483"/>
      <c r="E378" s="484"/>
      <c r="F378" s="483"/>
      <c r="G378" s="483"/>
      <c r="H378" s="483"/>
      <c r="I378" s="485"/>
      <c r="J378" s="486"/>
      <c r="K378" s="238"/>
      <c r="L378" s="238"/>
    </row>
    <row r="379">
      <c r="A379" s="482"/>
      <c r="C379" s="483"/>
      <c r="D379" s="483"/>
      <c r="E379" s="484"/>
      <c r="F379" s="483"/>
      <c r="G379" s="483"/>
      <c r="H379" s="483"/>
      <c r="I379" s="485"/>
      <c r="J379" s="486"/>
      <c r="K379" s="238"/>
      <c r="L379" s="238"/>
    </row>
    <row r="380">
      <c r="A380" s="482"/>
      <c r="C380" s="483"/>
      <c r="D380" s="483"/>
      <c r="E380" s="484"/>
      <c r="F380" s="483"/>
      <c r="G380" s="483"/>
      <c r="H380" s="483"/>
      <c r="I380" s="485"/>
      <c r="J380" s="486"/>
      <c r="K380" s="238"/>
      <c r="L380" s="238"/>
    </row>
    <row r="381">
      <c r="A381" s="482"/>
      <c r="C381" s="483"/>
      <c r="D381" s="483"/>
      <c r="E381" s="484"/>
      <c r="F381" s="483"/>
      <c r="G381" s="483"/>
      <c r="H381" s="483"/>
      <c r="I381" s="485"/>
      <c r="J381" s="486"/>
      <c r="K381" s="238"/>
      <c r="L381" s="238"/>
    </row>
    <row r="382">
      <c r="A382" s="482"/>
      <c r="C382" s="483"/>
      <c r="D382" s="483"/>
      <c r="E382" s="484"/>
      <c r="F382" s="483"/>
      <c r="G382" s="483"/>
      <c r="H382" s="483"/>
      <c r="I382" s="485"/>
      <c r="J382" s="486"/>
      <c r="K382" s="238"/>
      <c r="L382" s="238"/>
    </row>
    <row r="383">
      <c r="A383" s="482"/>
      <c r="C383" s="483"/>
      <c r="D383" s="483"/>
      <c r="E383" s="484"/>
      <c r="F383" s="483"/>
      <c r="G383" s="483"/>
      <c r="H383" s="483"/>
      <c r="I383" s="485"/>
      <c r="J383" s="486"/>
      <c r="K383" s="238"/>
      <c r="L383" s="238"/>
    </row>
    <row r="384">
      <c r="A384" s="482"/>
      <c r="C384" s="483"/>
      <c r="D384" s="483"/>
      <c r="E384" s="484"/>
      <c r="F384" s="483"/>
      <c r="G384" s="483"/>
      <c r="H384" s="483"/>
      <c r="I384" s="485"/>
      <c r="J384" s="486"/>
      <c r="K384" s="238"/>
      <c r="L384" s="238"/>
    </row>
    <row r="385">
      <c r="A385" s="482"/>
      <c r="C385" s="483"/>
      <c r="D385" s="483"/>
      <c r="E385" s="484"/>
      <c r="F385" s="483"/>
      <c r="G385" s="483"/>
      <c r="H385" s="483"/>
      <c r="I385" s="485"/>
      <c r="J385" s="486"/>
      <c r="K385" s="238"/>
      <c r="L385" s="238"/>
    </row>
    <row r="386">
      <c r="A386" s="482"/>
      <c r="C386" s="483"/>
      <c r="D386" s="483"/>
      <c r="E386" s="484"/>
      <c r="F386" s="483"/>
      <c r="G386" s="483"/>
      <c r="H386" s="483"/>
      <c r="I386" s="485"/>
      <c r="J386" s="486"/>
      <c r="K386" s="238"/>
      <c r="L386" s="238"/>
    </row>
    <row r="387">
      <c r="A387" s="482"/>
      <c r="C387" s="483"/>
      <c r="D387" s="483"/>
      <c r="E387" s="484"/>
      <c r="F387" s="483"/>
      <c r="G387" s="483"/>
      <c r="H387" s="483"/>
      <c r="I387" s="485"/>
      <c r="J387" s="486"/>
      <c r="K387" s="238"/>
      <c r="L387" s="238"/>
    </row>
    <row r="388">
      <c r="A388" s="482"/>
      <c r="C388" s="483"/>
      <c r="D388" s="483"/>
      <c r="E388" s="484"/>
      <c r="F388" s="483"/>
      <c r="G388" s="483"/>
      <c r="H388" s="483"/>
      <c r="I388" s="485"/>
      <c r="J388" s="486"/>
      <c r="K388" s="238"/>
      <c r="L388" s="238"/>
    </row>
    <row r="389">
      <c r="A389" s="482"/>
      <c r="C389" s="483"/>
      <c r="D389" s="483"/>
      <c r="E389" s="484"/>
      <c r="F389" s="483"/>
      <c r="G389" s="483"/>
      <c r="H389" s="483"/>
      <c r="I389" s="485"/>
      <c r="J389" s="486"/>
      <c r="K389" s="238"/>
      <c r="L389" s="238"/>
    </row>
    <row r="390">
      <c r="A390" s="482"/>
      <c r="C390" s="483"/>
      <c r="D390" s="483"/>
      <c r="E390" s="484"/>
      <c r="F390" s="483"/>
      <c r="G390" s="483"/>
      <c r="H390" s="483"/>
      <c r="I390" s="485"/>
      <c r="J390" s="486"/>
      <c r="K390" s="238"/>
      <c r="L390" s="238"/>
    </row>
    <row r="391">
      <c r="A391" s="482"/>
      <c r="C391" s="483"/>
      <c r="D391" s="483"/>
      <c r="E391" s="484"/>
      <c r="F391" s="483"/>
      <c r="G391" s="483"/>
      <c r="H391" s="483"/>
      <c r="I391" s="485"/>
      <c r="J391" s="486"/>
      <c r="K391" s="238"/>
      <c r="L391" s="238"/>
    </row>
    <row r="392">
      <c r="A392" s="482"/>
      <c r="C392" s="483"/>
      <c r="D392" s="483"/>
      <c r="E392" s="484"/>
      <c r="F392" s="483"/>
      <c r="G392" s="483"/>
      <c r="H392" s="483"/>
      <c r="I392" s="485"/>
      <c r="J392" s="486"/>
      <c r="K392" s="238"/>
      <c r="L392" s="238"/>
    </row>
    <row r="393">
      <c r="A393" s="482"/>
      <c r="C393" s="483"/>
      <c r="D393" s="483"/>
      <c r="E393" s="484"/>
      <c r="F393" s="483"/>
      <c r="G393" s="483"/>
      <c r="H393" s="483"/>
      <c r="I393" s="485"/>
      <c r="J393" s="486"/>
      <c r="K393" s="238"/>
      <c r="L393" s="238"/>
    </row>
    <row r="394">
      <c r="A394" s="482"/>
      <c r="C394" s="483"/>
      <c r="D394" s="483"/>
      <c r="E394" s="484"/>
      <c r="F394" s="483"/>
      <c r="G394" s="483"/>
      <c r="H394" s="483"/>
      <c r="I394" s="485"/>
      <c r="J394" s="486"/>
      <c r="K394" s="238"/>
      <c r="L394" s="238"/>
    </row>
    <row r="395">
      <c r="A395" s="482"/>
      <c r="C395" s="483"/>
      <c r="D395" s="483"/>
      <c r="E395" s="484"/>
      <c r="F395" s="483"/>
      <c r="G395" s="483"/>
      <c r="H395" s="483"/>
      <c r="I395" s="485"/>
      <c r="J395" s="486"/>
      <c r="K395" s="238"/>
      <c r="L395" s="238"/>
    </row>
    <row r="396">
      <c r="A396" s="482"/>
      <c r="C396" s="483"/>
      <c r="D396" s="483"/>
      <c r="E396" s="484"/>
      <c r="F396" s="483"/>
      <c r="G396" s="483"/>
      <c r="H396" s="483"/>
      <c r="I396" s="485"/>
      <c r="J396" s="486"/>
      <c r="K396" s="238"/>
      <c r="L396" s="238"/>
    </row>
    <row r="397">
      <c r="A397" s="482"/>
      <c r="C397" s="483"/>
      <c r="D397" s="483"/>
      <c r="E397" s="484"/>
      <c r="F397" s="483"/>
      <c r="G397" s="483"/>
      <c r="H397" s="483"/>
      <c r="I397" s="485"/>
      <c r="J397" s="486"/>
      <c r="K397" s="238"/>
      <c r="L397" s="238"/>
    </row>
    <row r="398">
      <c r="A398" s="482"/>
      <c r="C398" s="483"/>
      <c r="D398" s="483"/>
      <c r="E398" s="484"/>
      <c r="F398" s="483"/>
      <c r="G398" s="483"/>
      <c r="H398" s="483"/>
      <c r="I398" s="485"/>
      <c r="J398" s="486"/>
      <c r="K398" s="238"/>
      <c r="L398" s="238"/>
    </row>
    <row r="399">
      <c r="A399" s="482"/>
      <c r="C399" s="483"/>
      <c r="D399" s="483"/>
      <c r="E399" s="484"/>
      <c r="F399" s="483"/>
      <c r="G399" s="483"/>
      <c r="H399" s="483"/>
      <c r="I399" s="485"/>
      <c r="J399" s="486"/>
      <c r="K399" s="238"/>
      <c r="L399" s="238"/>
    </row>
    <row r="400">
      <c r="A400" s="482"/>
      <c r="C400" s="483"/>
      <c r="D400" s="483"/>
      <c r="E400" s="484"/>
      <c r="F400" s="483"/>
      <c r="G400" s="483"/>
      <c r="H400" s="483"/>
      <c r="I400" s="485"/>
      <c r="J400" s="486"/>
      <c r="K400" s="238"/>
      <c r="L400" s="238"/>
    </row>
    <row r="401">
      <c r="A401" s="482"/>
      <c r="C401" s="483"/>
      <c r="D401" s="483"/>
      <c r="E401" s="484"/>
      <c r="F401" s="483"/>
      <c r="G401" s="483"/>
      <c r="H401" s="483"/>
      <c r="I401" s="485"/>
      <c r="J401" s="486"/>
      <c r="K401" s="238"/>
      <c r="L401" s="238"/>
    </row>
    <row r="402">
      <c r="A402" s="482"/>
      <c r="C402" s="483"/>
      <c r="D402" s="483"/>
      <c r="E402" s="484"/>
      <c r="F402" s="483"/>
      <c r="G402" s="483"/>
      <c r="H402" s="483"/>
      <c r="I402" s="485"/>
      <c r="J402" s="486"/>
      <c r="K402" s="238"/>
      <c r="L402" s="238"/>
    </row>
    <row r="403">
      <c r="A403" s="482"/>
      <c r="C403" s="483"/>
      <c r="D403" s="483"/>
      <c r="E403" s="484"/>
      <c r="F403" s="483"/>
      <c r="G403" s="483"/>
      <c r="H403" s="483"/>
      <c r="I403" s="485"/>
      <c r="J403" s="486"/>
      <c r="K403" s="238"/>
      <c r="L403" s="238"/>
    </row>
    <row r="404">
      <c r="A404" s="482"/>
      <c r="C404" s="483"/>
      <c r="D404" s="483"/>
      <c r="E404" s="484"/>
      <c r="F404" s="483"/>
      <c r="G404" s="483"/>
      <c r="H404" s="483"/>
      <c r="I404" s="485"/>
      <c r="J404" s="486"/>
      <c r="K404" s="238"/>
      <c r="L404" s="238"/>
    </row>
    <row r="405">
      <c r="A405" s="482"/>
      <c r="C405" s="483"/>
      <c r="D405" s="483"/>
      <c r="E405" s="484"/>
      <c r="F405" s="483"/>
      <c r="G405" s="483"/>
      <c r="H405" s="483"/>
      <c r="I405" s="485"/>
      <c r="J405" s="486"/>
      <c r="K405" s="238"/>
      <c r="L405" s="238"/>
    </row>
    <row r="406">
      <c r="A406" s="482"/>
      <c r="C406" s="483"/>
      <c r="D406" s="483"/>
      <c r="E406" s="484"/>
      <c r="F406" s="483"/>
      <c r="G406" s="483"/>
      <c r="H406" s="483"/>
      <c r="I406" s="485"/>
      <c r="J406" s="486"/>
      <c r="K406" s="238"/>
      <c r="L406" s="238"/>
    </row>
    <row r="407">
      <c r="A407" s="482"/>
      <c r="C407" s="483"/>
      <c r="D407" s="483"/>
      <c r="E407" s="484"/>
      <c r="F407" s="483"/>
      <c r="G407" s="483"/>
      <c r="H407" s="483"/>
      <c r="I407" s="485"/>
      <c r="J407" s="486"/>
      <c r="K407" s="238"/>
      <c r="L407" s="238"/>
    </row>
    <row r="408">
      <c r="A408" s="482"/>
      <c r="C408" s="483"/>
      <c r="D408" s="483"/>
      <c r="E408" s="484"/>
      <c r="F408" s="483"/>
      <c r="G408" s="483"/>
      <c r="H408" s="483"/>
      <c r="I408" s="485"/>
      <c r="J408" s="486"/>
      <c r="K408" s="238"/>
      <c r="L408" s="238"/>
    </row>
    <row r="409">
      <c r="A409" s="482"/>
      <c r="C409" s="483"/>
      <c r="D409" s="483"/>
      <c r="E409" s="484"/>
      <c r="F409" s="483"/>
      <c r="G409" s="483"/>
      <c r="H409" s="483"/>
      <c r="I409" s="485"/>
      <c r="J409" s="486"/>
      <c r="K409" s="238"/>
      <c r="L409" s="238"/>
    </row>
    <row r="410">
      <c r="A410" s="482"/>
      <c r="C410" s="483"/>
      <c r="D410" s="483"/>
      <c r="E410" s="484"/>
      <c r="F410" s="483"/>
      <c r="G410" s="483"/>
      <c r="H410" s="483"/>
      <c r="I410" s="485"/>
      <c r="J410" s="486"/>
      <c r="K410" s="238"/>
      <c r="L410" s="238"/>
    </row>
    <row r="411">
      <c r="A411" s="482"/>
      <c r="C411" s="483"/>
      <c r="D411" s="483"/>
      <c r="E411" s="484"/>
      <c r="F411" s="483"/>
      <c r="G411" s="483"/>
      <c r="H411" s="483"/>
      <c r="I411" s="485"/>
      <c r="J411" s="486"/>
      <c r="K411" s="238"/>
      <c r="L411" s="238"/>
    </row>
    <row r="412">
      <c r="A412" s="482"/>
      <c r="C412" s="483"/>
      <c r="D412" s="483"/>
      <c r="E412" s="484"/>
      <c r="F412" s="483"/>
      <c r="G412" s="483"/>
      <c r="H412" s="483"/>
      <c r="I412" s="485"/>
      <c r="J412" s="486"/>
      <c r="K412" s="238"/>
      <c r="L412" s="238"/>
    </row>
    <row r="413">
      <c r="A413" s="482"/>
      <c r="C413" s="483"/>
      <c r="D413" s="483"/>
      <c r="E413" s="484"/>
      <c r="F413" s="483"/>
      <c r="G413" s="483"/>
      <c r="H413" s="483"/>
      <c r="I413" s="485"/>
      <c r="J413" s="486"/>
      <c r="K413" s="238"/>
      <c r="L413" s="238"/>
    </row>
    <row r="414">
      <c r="A414" s="482"/>
      <c r="C414" s="483"/>
      <c r="D414" s="483"/>
      <c r="E414" s="484"/>
      <c r="F414" s="483"/>
      <c r="G414" s="483"/>
      <c r="H414" s="483"/>
      <c r="I414" s="485"/>
      <c r="J414" s="486"/>
      <c r="K414" s="238"/>
      <c r="L414" s="238"/>
    </row>
    <row r="415">
      <c r="A415" s="482"/>
      <c r="C415" s="483"/>
      <c r="D415" s="483"/>
      <c r="E415" s="484"/>
      <c r="F415" s="483"/>
      <c r="G415" s="483"/>
      <c r="H415" s="483"/>
      <c r="I415" s="485"/>
      <c r="J415" s="486"/>
      <c r="K415" s="238"/>
      <c r="L415" s="238"/>
    </row>
    <row r="416">
      <c r="A416" s="482"/>
      <c r="C416" s="483"/>
      <c r="D416" s="483"/>
      <c r="E416" s="484"/>
      <c r="F416" s="483"/>
      <c r="G416" s="483"/>
      <c r="H416" s="483"/>
      <c r="I416" s="485"/>
      <c r="J416" s="486"/>
      <c r="K416" s="238"/>
      <c r="L416" s="238"/>
    </row>
    <row r="417">
      <c r="A417" s="482"/>
      <c r="C417" s="483"/>
      <c r="D417" s="483"/>
      <c r="E417" s="484"/>
      <c r="F417" s="483"/>
      <c r="G417" s="483"/>
      <c r="H417" s="483"/>
      <c r="I417" s="485"/>
      <c r="J417" s="486"/>
      <c r="K417" s="238"/>
      <c r="L417" s="238"/>
    </row>
    <row r="418">
      <c r="A418" s="482"/>
      <c r="C418" s="483"/>
      <c r="D418" s="483"/>
      <c r="E418" s="484"/>
      <c r="F418" s="483"/>
      <c r="G418" s="483"/>
      <c r="H418" s="483"/>
      <c r="I418" s="485"/>
      <c r="J418" s="486"/>
      <c r="K418" s="238"/>
      <c r="L418" s="238"/>
    </row>
    <row r="419">
      <c r="A419" s="482"/>
      <c r="C419" s="483"/>
      <c r="D419" s="483"/>
      <c r="E419" s="484"/>
      <c r="F419" s="483"/>
      <c r="G419" s="483"/>
      <c r="H419" s="483"/>
      <c r="I419" s="485"/>
      <c r="J419" s="486"/>
      <c r="K419" s="238"/>
      <c r="L419" s="238"/>
    </row>
    <row r="420">
      <c r="A420" s="482"/>
      <c r="C420" s="483"/>
      <c r="D420" s="483"/>
      <c r="E420" s="484"/>
      <c r="F420" s="483"/>
      <c r="G420" s="483"/>
      <c r="H420" s="483"/>
      <c r="I420" s="485"/>
      <c r="J420" s="486"/>
      <c r="K420" s="238"/>
      <c r="L420" s="238"/>
    </row>
    <row r="421">
      <c r="A421" s="482"/>
      <c r="C421" s="483"/>
      <c r="D421" s="483"/>
      <c r="E421" s="484"/>
      <c r="F421" s="483"/>
      <c r="G421" s="483"/>
      <c r="H421" s="483"/>
      <c r="I421" s="485"/>
      <c r="J421" s="486"/>
      <c r="K421" s="238"/>
      <c r="L421" s="238"/>
    </row>
    <row r="422">
      <c r="A422" s="482"/>
      <c r="C422" s="483"/>
      <c r="D422" s="483"/>
      <c r="E422" s="484"/>
      <c r="F422" s="483"/>
      <c r="G422" s="483"/>
      <c r="H422" s="483"/>
      <c r="I422" s="485"/>
      <c r="J422" s="486"/>
      <c r="K422" s="238"/>
      <c r="L422" s="238"/>
    </row>
    <row r="423">
      <c r="A423" s="482"/>
      <c r="C423" s="483"/>
      <c r="D423" s="483"/>
      <c r="E423" s="484"/>
      <c r="F423" s="483"/>
      <c r="G423" s="483"/>
      <c r="H423" s="483"/>
      <c r="I423" s="485"/>
      <c r="J423" s="486"/>
      <c r="K423" s="238"/>
      <c r="L423" s="238"/>
    </row>
    <row r="424">
      <c r="A424" s="482"/>
      <c r="C424" s="483"/>
      <c r="D424" s="483"/>
      <c r="E424" s="484"/>
      <c r="F424" s="483"/>
      <c r="G424" s="483"/>
      <c r="H424" s="483"/>
      <c r="I424" s="485"/>
      <c r="J424" s="486"/>
      <c r="K424" s="238"/>
      <c r="L424" s="238"/>
    </row>
    <row r="425">
      <c r="A425" s="482"/>
      <c r="C425" s="483"/>
      <c r="D425" s="483"/>
      <c r="E425" s="484"/>
      <c r="F425" s="483"/>
      <c r="G425" s="483"/>
      <c r="H425" s="483"/>
      <c r="I425" s="485"/>
      <c r="J425" s="486"/>
      <c r="K425" s="238"/>
      <c r="L425" s="238"/>
    </row>
    <row r="426">
      <c r="A426" s="482"/>
      <c r="C426" s="483"/>
      <c r="D426" s="483"/>
      <c r="E426" s="484"/>
      <c r="F426" s="483"/>
      <c r="G426" s="483"/>
      <c r="H426" s="483"/>
      <c r="I426" s="485"/>
      <c r="J426" s="486"/>
      <c r="K426" s="238"/>
      <c r="L426" s="238"/>
    </row>
    <row r="427">
      <c r="A427" s="482"/>
      <c r="C427" s="483"/>
      <c r="D427" s="483"/>
      <c r="E427" s="484"/>
      <c r="F427" s="483"/>
      <c r="G427" s="483"/>
      <c r="H427" s="483"/>
      <c r="I427" s="485"/>
      <c r="J427" s="486"/>
      <c r="K427" s="238"/>
      <c r="L427" s="238"/>
    </row>
    <row r="428">
      <c r="A428" s="482"/>
      <c r="C428" s="483"/>
      <c r="D428" s="483"/>
      <c r="E428" s="484"/>
      <c r="F428" s="483"/>
      <c r="G428" s="483"/>
      <c r="H428" s="483"/>
      <c r="I428" s="485"/>
      <c r="J428" s="486"/>
      <c r="K428" s="238"/>
      <c r="L428" s="238"/>
    </row>
    <row r="429">
      <c r="A429" s="482"/>
      <c r="C429" s="483"/>
      <c r="D429" s="483"/>
      <c r="E429" s="484"/>
      <c r="F429" s="483"/>
      <c r="G429" s="483"/>
      <c r="H429" s="483"/>
      <c r="I429" s="485"/>
      <c r="J429" s="486"/>
      <c r="K429" s="238"/>
      <c r="L429" s="238"/>
    </row>
    <row r="430">
      <c r="A430" s="482"/>
      <c r="C430" s="483"/>
      <c r="D430" s="483"/>
      <c r="E430" s="484"/>
      <c r="F430" s="483"/>
      <c r="G430" s="483"/>
      <c r="H430" s="483"/>
      <c r="I430" s="485"/>
      <c r="J430" s="486"/>
      <c r="K430" s="238"/>
      <c r="L430" s="238"/>
    </row>
    <row r="431">
      <c r="A431" s="482"/>
      <c r="C431" s="483"/>
      <c r="D431" s="483"/>
      <c r="E431" s="484"/>
      <c r="F431" s="483"/>
      <c r="G431" s="483"/>
      <c r="H431" s="483"/>
      <c r="I431" s="485"/>
      <c r="J431" s="486"/>
      <c r="K431" s="238"/>
      <c r="L431" s="238"/>
    </row>
    <row r="432">
      <c r="A432" s="482"/>
      <c r="C432" s="483"/>
      <c r="D432" s="483"/>
      <c r="E432" s="484"/>
      <c r="F432" s="483"/>
      <c r="G432" s="483"/>
      <c r="H432" s="483"/>
      <c r="I432" s="485"/>
      <c r="J432" s="486"/>
      <c r="K432" s="238"/>
      <c r="L432" s="238"/>
    </row>
    <row r="433">
      <c r="A433" s="482"/>
      <c r="C433" s="483"/>
      <c r="D433" s="483"/>
      <c r="E433" s="484"/>
      <c r="F433" s="483"/>
      <c r="G433" s="483"/>
      <c r="H433" s="483"/>
      <c r="I433" s="485"/>
      <c r="J433" s="486"/>
      <c r="K433" s="238"/>
      <c r="L433" s="238"/>
    </row>
    <row r="434">
      <c r="A434" s="482"/>
      <c r="C434" s="483"/>
      <c r="D434" s="483"/>
      <c r="E434" s="484"/>
      <c r="F434" s="483"/>
      <c r="G434" s="483"/>
      <c r="H434" s="483"/>
      <c r="I434" s="485"/>
      <c r="J434" s="486"/>
      <c r="K434" s="238"/>
      <c r="L434" s="238"/>
    </row>
    <row r="435">
      <c r="A435" s="482"/>
      <c r="C435" s="483"/>
      <c r="D435" s="483"/>
      <c r="E435" s="484"/>
      <c r="F435" s="483"/>
      <c r="G435" s="483"/>
      <c r="H435" s="483"/>
      <c r="I435" s="485"/>
      <c r="J435" s="486"/>
      <c r="K435" s="238"/>
      <c r="L435" s="238"/>
    </row>
    <row r="436">
      <c r="A436" s="482"/>
      <c r="C436" s="483"/>
      <c r="D436" s="483"/>
      <c r="E436" s="484"/>
      <c r="F436" s="483"/>
      <c r="G436" s="483"/>
      <c r="H436" s="483"/>
      <c r="I436" s="485"/>
      <c r="J436" s="486"/>
      <c r="K436" s="238"/>
      <c r="L436" s="238"/>
    </row>
    <row r="437">
      <c r="A437" s="482"/>
      <c r="C437" s="483"/>
      <c r="D437" s="483"/>
      <c r="E437" s="484"/>
      <c r="F437" s="483"/>
      <c r="G437" s="483"/>
      <c r="H437" s="483"/>
      <c r="I437" s="485"/>
      <c r="J437" s="486"/>
      <c r="K437" s="238"/>
      <c r="L437" s="238"/>
    </row>
    <row r="438">
      <c r="A438" s="482"/>
      <c r="C438" s="483"/>
      <c r="D438" s="483"/>
      <c r="E438" s="484"/>
      <c r="F438" s="483"/>
      <c r="G438" s="483"/>
      <c r="H438" s="483"/>
      <c r="I438" s="485"/>
      <c r="J438" s="486"/>
      <c r="K438" s="238"/>
      <c r="L438" s="238"/>
    </row>
    <row r="439">
      <c r="A439" s="482"/>
      <c r="C439" s="483"/>
      <c r="D439" s="483"/>
      <c r="E439" s="484"/>
      <c r="F439" s="483"/>
      <c r="G439" s="483"/>
      <c r="H439" s="483"/>
      <c r="I439" s="485"/>
      <c r="J439" s="486"/>
      <c r="K439" s="238"/>
      <c r="L439" s="238"/>
    </row>
    <row r="440">
      <c r="A440" s="482"/>
      <c r="C440" s="483"/>
      <c r="D440" s="483"/>
      <c r="E440" s="484"/>
      <c r="F440" s="483"/>
      <c r="G440" s="483"/>
      <c r="H440" s="483"/>
      <c r="I440" s="485"/>
      <c r="J440" s="486"/>
      <c r="K440" s="238"/>
      <c r="L440" s="238"/>
    </row>
    <row r="441">
      <c r="A441" s="482"/>
      <c r="C441" s="483"/>
      <c r="D441" s="483"/>
      <c r="E441" s="484"/>
      <c r="F441" s="483"/>
      <c r="G441" s="483"/>
      <c r="H441" s="483"/>
      <c r="I441" s="485"/>
      <c r="J441" s="486"/>
      <c r="K441" s="238"/>
      <c r="L441" s="238"/>
    </row>
    <row r="442">
      <c r="A442" s="482"/>
      <c r="C442" s="483"/>
      <c r="D442" s="483"/>
      <c r="E442" s="484"/>
      <c r="F442" s="483"/>
      <c r="G442" s="483"/>
      <c r="H442" s="483"/>
      <c r="I442" s="485"/>
      <c r="J442" s="486"/>
      <c r="K442" s="238"/>
      <c r="L442" s="238"/>
    </row>
    <row r="443">
      <c r="A443" s="482"/>
      <c r="C443" s="483"/>
      <c r="D443" s="483"/>
      <c r="E443" s="484"/>
      <c r="F443" s="483"/>
      <c r="G443" s="483"/>
      <c r="H443" s="483"/>
      <c r="I443" s="485"/>
      <c r="J443" s="486"/>
      <c r="K443" s="238"/>
      <c r="L443" s="238"/>
    </row>
    <row r="444">
      <c r="A444" s="482"/>
      <c r="C444" s="483"/>
      <c r="D444" s="483"/>
      <c r="E444" s="484"/>
      <c r="F444" s="483"/>
      <c r="G444" s="483"/>
      <c r="H444" s="483"/>
      <c r="I444" s="485"/>
      <c r="J444" s="486"/>
      <c r="K444" s="238"/>
      <c r="L444" s="238"/>
    </row>
    <row r="445">
      <c r="A445" s="482"/>
      <c r="C445" s="483"/>
      <c r="D445" s="483"/>
      <c r="E445" s="484"/>
      <c r="F445" s="483"/>
      <c r="G445" s="483"/>
      <c r="H445" s="483"/>
      <c r="I445" s="485"/>
      <c r="J445" s="486"/>
      <c r="K445" s="238"/>
      <c r="L445" s="238"/>
    </row>
    <row r="446">
      <c r="A446" s="482"/>
      <c r="C446" s="483"/>
      <c r="D446" s="483"/>
      <c r="E446" s="484"/>
      <c r="F446" s="483"/>
      <c r="G446" s="483"/>
      <c r="H446" s="483"/>
      <c r="I446" s="485"/>
      <c r="J446" s="486"/>
      <c r="K446" s="238"/>
      <c r="L446" s="238"/>
    </row>
    <row r="447">
      <c r="A447" s="482"/>
      <c r="C447" s="483"/>
      <c r="D447" s="483"/>
      <c r="E447" s="484"/>
      <c r="F447" s="483"/>
      <c r="G447" s="483"/>
      <c r="H447" s="483"/>
      <c r="I447" s="485"/>
      <c r="J447" s="486"/>
      <c r="K447" s="238"/>
      <c r="L447" s="238"/>
    </row>
    <row r="448">
      <c r="A448" s="482"/>
      <c r="C448" s="483"/>
      <c r="D448" s="483"/>
      <c r="E448" s="484"/>
      <c r="F448" s="483"/>
      <c r="G448" s="483"/>
      <c r="H448" s="483"/>
      <c r="I448" s="485"/>
      <c r="J448" s="486"/>
      <c r="K448" s="238"/>
      <c r="L448" s="238"/>
    </row>
    <row r="449">
      <c r="A449" s="482"/>
      <c r="C449" s="483"/>
      <c r="D449" s="483"/>
      <c r="E449" s="484"/>
      <c r="F449" s="483"/>
      <c r="G449" s="483"/>
      <c r="H449" s="483"/>
      <c r="I449" s="485"/>
      <c r="J449" s="486"/>
      <c r="K449" s="238"/>
      <c r="L449" s="238"/>
    </row>
    <row r="450">
      <c r="A450" s="482"/>
      <c r="C450" s="483"/>
      <c r="D450" s="483"/>
      <c r="E450" s="484"/>
      <c r="F450" s="483"/>
      <c r="G450" s="483"/>
      <c r="H450" s="483"/>
      <c r="I450" s="485"/>
      <c r="J450" s="486"/>
      <c r="K450" s="238"/>
      <c r="L450" s="238"/>
    </row>
    <row r="451">
      <c r="A451" s="482"/>
      <c r="C451" s="483"/>
      <c r="D451" s="483"/>
      <c r="E451" s="484"/>
      <c r="F451" s="483"/>
      <c r="G451" s="483"/>
      <c r="H451" s="483"/>
      <c r="I451" s="485"/>
      <c r="J451" s="486"/>
      <c r="K451" s="238"/>
      <c r="L451" s="238"/>
    </row>
    <row r="452">
      <c r="A452" s="482"/>
      <c r="C452" s="483"/>
      <c r="D452" s="483"/>
      <c r="E452" s="484"/>
      <c r="F452" s="483"/>
      <c r="G452" s="483"/>
      <c r="H452" s="483"/>
      <c r="I452" s="485"/>
      <c r="J452" s="486"/>
      <c r="K452" s="238"/>
      <c r="L452" s="238"/>
    </row>
    <row r="453">
      <c r="A453" s="482"/>
      <c r="C453" s="483"/>
      <c r="D453" s="483"/>
      <c r="E453" s="484"/>
      <c r="F453" s="483"/>
      <c r="G453" s="483"/>
      <c r="H453" s="483"/>
      <c r="I453" s="485"/>
      <c r="J453" s="486"/>
      <c r="K453" s="238"/>
      <c r="L453" s="238"/>
    </row>
    <row r="454">
      <c r="A454" s="482"/>
      <c r="C454" s="483"/>
      <c r="D454" s="483"/>
      <c r="E454" s="484"/>
      <c r="F454" s="483"/>
      <c r="G454" s="483"/>
      <c r="H454" s="483"/>
      <c r="I454" s="485"/>
      <c r="J454" s="486"/>
      <c r="K454" s="238"/>
      <c r="L454" s="238"/>
    </row>
    <row r="455">
      <c r="A455" s="482"/>
      <c r="C455" s="483"/>
      <c r="D455" s="483"/>
      <c r="E455" s="484"/>
      <c r="F455" s="483"/>
      <c r="G455" s="483"/>
      <c r="H455" s="483"/>
      <c r="I455" s="485"/>
      <c r="J455" s="486"/>
      <c r="K455" s="238"/>
      <c r="L455" s="238"/>
    </row>
    <row r="456">
      <c r="A456" s="482"/>
      <c r="C456" s="483"/>
      <c r="D456" s="483"/>
      <c r="E456" s="484"/>
      <c r="F456" s="483"/>
      <c r="G456" s="483"/>
      <c r="H456" s="483"/>
      <c r="I456" s="485"/>
      <c r="J456" s="486"/>
      <c r="K456" s="238"/>
      <c r="L456" s="238"/>
    </row>
    <row r="457">
      <c r="A457" s="482"/>
      <c r="C457" s="483"/>
      <c r="D457" s="483"/>
      <c r="E457" s="484"/>
      <c r="F457" s="483"/>
      <c r="G457" s="483"/>
      <c r="H457" s="483"/>
      <c r="I457" s="485"/>
      <c r="J457" s="486"/>
      <c r="K457" s="238"/>
      <c r="L457" s="238"/>
    </row>
    <row r="458">
      <c r="A458" s="482"/>
      <c r="C458" s="483"/>
      <c r="D458" s="483"/>
      <c r="E458" s="484"/>
      <c r="F458" s="483"/>
      <c r="G458" s="483"/>
      <c r="H458" s="483"/>
      <c r="I458" s="485"/>
      <c r="J458" s="486"/>
      <c r="K458" s="238"/>
      <c r="L458" s="238"/>
    </row>
    <row r="459">
      <c r="A459" s="482"/>
      <c r="C459" s="483"/>
      <c r="D459" s="483"/>
      <c r="E459" s="484"/>
      <c r="F459" s="483"/>
      <c r="G459" s="483"/>
      <c r="H459" s="483"/>
      <c r="I459" s="485"/>
      <c r="J459" s="486"/>
      <c r="K459" s="238"/>
      <c r="L459" s="238"/>
    </row>
    <row r="460">
      <c r="A460" s="482"/>
      <c r="C460" s="483"/>
      <c r="D460" s="483"/>
      <c r="E460" s="484"/>
      <c r="F460" s="483"/>
      <c r="G460" s="483"/>
      <c r="H460" s="483"/>
      <c r="I460" s="485"/>
      <c r="J460" s="486"/>
      <c r="K460" s="238"/>
      <c r="L460" s="238"/>
    </row>
    <row r="461">
      <c r="A461" s="482"/>
      <c r="C461" s="483"/>
      <c r="D461" s="483"/>
      <c r="E461" s="484"/>
      <c r="F461" s="483"/>
      <c r="G461" s="483"/>
      <c r="H461" s="483"/>
      <c r="I461" s="485"/>
      <c r="J461" s="486"/>
      <c r="K461" s="238"/>
      <c r="L461" s="238"/>
    </row>
    <row r="462">
      <c r="A462" s="482"/>
      <c r="C462" s="483"/>
      <c r="D462" s="483"/>
      <c r="E462" s="484"/>
      <c r="F462" s="483"/>
      <c r="G462" s="483"/>
      <c r="H462" s="483"/>
      <c r="I462" s="485"/>
      <c r="J462" s="486"/>
      <c r="K462" s="238"/>
      <c r="L462" s="238"/>
    </row>
    <row r="463">
      <c r="A463" s="482"/>
      <c r="C463" s="483"/>
      <c r="D463" s="483"/>
      <c r="E463" s="484"/>
      <c r="F463" s="483"/>
      <c r="G463" s="483"/>
      <c r="H463" s="483"/>
      <c r="I463" s="485"/>
      <c r="J463" s="486"/>
      <c r="K463" s="238"/>
      <c r="L463" s="238"/>
    </row>
    <row r="464">
      <c r="A464" s="482"/>
      <c r="C464" s="483"/>
      <c r="D464" s="483"/>
      <c r="E464" s="484"/>
      <c r="F464" s="483"/>
      <c r="G464" s="483"/>
      <c r="H464" s="483"/>
      <c r="I464" s="485"/>
      <c r="J464" s="486"/>
      <c r="K464" s="238"/>
      <c r="L464" s="238"/>
    </row>
    <row r="465">
      <c r="A465" s="482"/>
      <c r="C465" s="483"/>
      <c r="D465" s="483"/>
      <c r="E465" s="484"/>
      <c r="F465" s="483"/>
      <c r="G465" s="483"/>
      <c r="H465" s="483"/>
      <c r="I465" s="485"/>
      <c r="J465" s="486"/>
      <c r="K465" s="238"/>
      <c r="L465" s="238"/>
    </row>
    <row r="466">
      <c r="A466" s="482"/>
      <c r="C466" s="483"/>
      <c r="D466" s="483"/>
      <c r="E466" s="484"/>
      <c r="F466" s="483"/>
      <c r="G466" s="483"/>
      <c r="H466" s="483"/>
      <c r="I466" s="485"/>
      <c r="J466" s="486"/>
      <c r="K466" s="238"/>
      <c r="L466" s="238"/>
    </row>
    <row r="467">
      <c r="A467" s="482"/>
      <c r="C467" s="483"/>
      <c r="D467" s="483"/>
      <c r="E467" s="484"/>
      <c r="F467" s="483"/>
      <c r="G467" s="483"/>
      <c r="H467" s="483"/>
      <c r="I467" s="485"/>
      <c r="J467" s="486"/>
      <c r="K467" s="238"/>
      <c r="L467" s="238"/>
    </row>
    <row r="468">
      <c r="A468" s="482"/>
      <c r="C468" s="483"/>
      <c r="D468" s="483"/>
      <c r="E468" s="484"/>
      <c r="F468" s="483"/>
      <c r="G468" s="483"/>
      <c r="H468" s="483"/>
      <c r="I468" s="485"/>
      <c r="J468" s="486"/>
      <c r="K468" s="238"/>
      <c r="L468" s="238"/>
    </row>
    <row r="469">
      <c r="A469" s="482"/>
      <c r="C469" s="483"/>
      <c r="D469" s="483"/>
      <c r="E469" s="484"/>
      <c r="F469" s="483"/>
      <c r="G469" s="483"/>
      <c r="H469" s="483"/>
      <c r="I469" s="485"/>
      <c r="J469" s="486"/>
      <c r="K469" s="238"/>
      <c r="L469" s="238"/>
    </row>
    <row r="470">
      <c r="A470" s="482"/>
      <c r="C470" s="483"/>
      <c r="D470" s="483"/>
      <c r="E470" s="484"/>
      <c r="F470" s="483"/>
      <c r="G470" s="483"/>
      <c r="H470" s="483"/>
      <c r="I470" s="485"/>
      <c r="J470" s="486"/>
      <c r="K470" s="238"/>
      <c r="L470" s="238"/>
    </row>
    <row r="471">
      <c r="A471" s="482"/>
      <c r="C471" s="483"/>
      <c r="D471" s="483"/>
      <c r="E471" s="484"/>
      <c r="F471" s="483"/>
      <c r="G471" s="483"/>
      <c r="H471" s="483"/>
      <c r="I471" s="485"/>
      <c r="J471" s="486"/>
      <c r="K471" s="238"/>
      <c r="L471" s="238"/>
    </row>
    <row r="472">
      <c r="A472" s="482"/>
      <c r="C472" s="483"/>
      <c r="D472" s="483"/>
      <c r="E472" s="484"/>
      <c r="F472" s="483"/>
      <c r="G472" s="483"/>
      <c r="H472" s="483"/>
      <c r="I472" s="485"/>
      <c r="J472" s="486"/>
      <c r="K472" s="238"/>
      <c r="L472" s="238"/>
    </row>
    <row r="473">
      <c r="A473" s="482"/>
      <c r="C473" s="483"/>
      <c r="D473" s="483"/>
      <c r="E473" s="484"/>
      <c r="F473" s="483"/>
      <c r="G473" s="483"/>
      <c r="H473" s="483"/>
      <c r="I473" s="485"/>
      <c r="J473" s="486"/>
      <c r="K473" s="238"/>
      <c r="L473" s="238"/>
    </row>
    <row r="474">
      <c r="A474" s="482"/>
      <c r="C474" s="483"/>
      <c r="D474" s="483"/>
      <c r="E474" s="484"/>
      <c r="F474" s="483"/>
      <c r="G474" s="483"/>
      <c r="H474" s="483"/>
      <c r="I474" s="485"/>
      <c r="J474" s="486"/>
      <c r="K474" s="238"/>
      <c r="L474" s="238"/>
    </row>
    <row r="475">
      <c r="A475" s="482"/>
      <c r="C475" s="483"/>
      <c r="D475" s="483"/>
      <c r="E475" s="484"/>
      <c r="F475" s="483"/>
      <c r="G475" s="483"/>
      <c r="H475" s="483"/>
      <c r="I475" s="485"/>
      <c r="J475" s="486"/>
      <c r="K475" s="238"/>
      <c r="L475" s="238"/>
    </row>
    <row r="476">
      <c r="A476" s="482"/>
      <c r="C476" s="483"/>
      <c r="D476" s="483"/>
      <c r="E476" s="484"/>
      <c r="F476" s="483"/>
      <c r="G476" s="483"/>
      <c r="H476" s="483"/>
      <c r="I476" s="485"/>
      <c r="J476" s="486"/>
      <c r="K476" s="238"/>
      <c r="L476" s="238"/>
    </row>
    <row r="477">
      <c r="A477" s="482"/>
      <c r="C477" s="483"/>
      <c r="D477" s="483"/>
      <c r="E477" s="484"/>
      <c r="F477" s="483"/>
      <c r="G477" s="483"/>
      <c r="H477" s="483"/>
      <c r="I477" s="485"/>
      <c r="J477" s="486"/>
      <c r="K477" s="238"/>
      <c r="L477" s="238"/>
    </row>
    <row r="478">
      <c r="A478" s="482"/>
      <c r="C478" s="483"/>
      <c r="D478" s="483"/>
      <c r="E478" s="484"/>
      <c r="F478" s="483"/>
      <c r="G478" s="483"/>
      <c r="H478" s="483"/>
      <c r="I478" s="485"/>
      <c r="J478" s="486"/>
      <c r="K478" s="238"/>
      <c r="L478" s="238"/>
    </row>
    <row r="479">
      <c r="A479" s="482"/>
      <c r="C479" s="483"/>
      <c r="D479" s="483"/>
      <c r="E479" s="484"/>
      <c r="F479" s="483"/>
      <c r="G479" s="483"/>
      <c r="H479" s="483"/>
      <c r="I479" s="485"/>
      <c r="J479" s="486"/>
      <c r="K479" s="238"/>
      <c r="L479" s="238"/>
    </row>
    <row r="480">
      <c r="A480" s="482"/>
      <c r="C480" s="483"/>
      <c r="D480" s="483"/>
      <c r="E480" s="484"/>
      <c r="F480" s="483"/>
      <c r="G480" s="483"/>
      <c r="H480" s="483"/>
      <c r="I480" s="485"/>
      <c r="J480" s="486"/>
      <c r="K480" s="238"/>
      <c r="L480" s="238"/>
    </row>
    <row r="481">
      <c r="A481" s="482"/>
      <c r="C481" s="483"/>
      <c r="D481" s="483"/>
      <c r="E481" s="484"/>
      <c r="F481" s="483"/>
      <c r="G481" s="483"/>
      <c r="H481" s="483"/>
      <c r="I481" s="485"/>
      <c r="J481" s="486"/>
      <c r="K481" s="238"/>
      <c r="L481" s="238"/>
    </row>
    <row r="482">
      <c r="A482" s="482"/>
      <c r="C482" s="483"/>
      <c r="D482" s="483"/>
      <c r="E482" s="484"/>
      <c r="F482" s="483"/>
      <c r="G482" s="483"/>
      <c r="H482" s="483"/>
      <c r="I482" s="485"/>
      <c r="J482" s="486"/>
      <c r="K482" s="238"/>
      <c r="L482" s="238"/>
    </row>
    <row r="483">
      <c r="A483" s="482"/>
      <c r="C483" s="483"/>
      <c r="D483" s="483"/>
      <c r="E483" s="484"/>
      <c r="F483" s="483"/>
      <c r="G483" s="483"/>
      <c r="H483" s="483"/>
      <c r="I483" s="485"/>
      <c r="J483" s="486"/>
      <c r="K483" s="238"/>
      <c r="L483" s="238"/>
    </row>
    <row r="484">
      <c r="A484" s="482"/>
      <c r="C484" s="483"/>
      <c r="D484" s="483"/>
      <c r="E484" s="484"/>
      <c r="F484" s="483"/>
      <c r="G484" s="483"/>
      <c r="H484" s="483"/>
      <c r="I484" s="485"/>
      <c r="J484" s="486"/>
      <c r="K484" s="238"/>
      <c r="L484" s="238"/>
    </row>
    <row r="485">
      <c r="A485" s="482"/>
      <c r="C485" s="483"/>
      <c r="D485" s="483"/>
      <c r="E485" s="484"/>
      <c r="F485" s="483"/>
      <c r="G485" s="483"/>
      <c r="H485" s="483"/>
      <c r="I485" s="485"/>
      <c r="J485" s="486"/>
      <c r="K485" s="238"/>
      <c r="L485" s="238"/>
    </row>
    <row r="486">
      <c r="A486" s="482"/>
      <c r="C486" s="483"/>
      <c r="D486" s="483"/>
      <c r="E486" s="484"/>
      <c r="F486" s="483"/>
      <c r="G486" s="483"/>
      <c r="H486" s="483"/>
      <c r="I486" s="485"/>
      <c r="J486" s="486"/>
      <c r="K486" s="238"/>
      <c r="L486" s="238"/>
    </row>
    <row r="487">
      <c r="A487" s="482"/>
      <c r="C487" s="483"/>
      <c r="D487" s="483"/>
      <c r="E487" s="484"/>
      <c r="F487" s="483"/>
      <c r="G487" s="483"/>
      <c r="H487" s="483"/>
      <c r="I487" s="485"/>
      <c r="J487" s="486"/>
      <c r="K487" s="238"/>
      <c r="L487" s="238"/>
    </row>
    <row r="488">
      <c r="A488" s="482"/>
      <c r="C488" s="483"/>
      <c r="D488" s="483"/>
      <c r="E488" s="484"/>
      <c r="F488" s="483"/>
      <c r="G488" s="483"/>
      <c r="H488" s="483"/>
      <c r="I488" s="485"/>
      <c r="J488" s="486"/>
      <c r="K488" s="238"/>
      <c r="L488" s="238"/>
    </row>
    <row r="489">
      <c r="A489" s="482"/>
      <c r="C489" s="483"/>
      <c r="D489" s="483"/>
      <c r="E489" s="484"/>
      <c r="F489" s="483"/>
      <c r="G489" s="483"/>
      <c r="H489" s="483"/>
      <c r="I489" s="485"/>
      <c r="J489" s="486"/>
      <c r="K489" s="238"/>
      <c r="L489" s="238"/>
    </row>
    <row r="490">
      <c r="A490" s="482"/>
      <c r="C490" s="483"/>
      <c r="D490" s="483"/>
      <c r="E490" s="484"/>
      <c r="F490" s="483"/>
      <c r="G490" s="483"/>
      <c r="H490" s="483"/>
      <c r="I490" s="485"/>
      <c r="J490" s="486"/>
      <c r="K490" s="238"/>
      <c r="L490" s="238"/>
    </row>
    <row r="491">
      <c r="A491" s="482"/>
      <c r="C491" s="483"/>
      <c r="D491" s="483"/>
      <c r="E491" s="484"/>
      <c r="F491" s="483"/>
      <c r="G491" s="483"/>
      <c r="H491" s="483"/>
      <c r="I491" s="485"/>
      <c r="J491" s="486"/>
      <c r="K491" s="238"/>
      <c r="L491" s="238"/>
    </row>
    <row r="492">
      <c r="A492" s="482"/>
      <c r="C492" s="483"/>
      <c r="D492" s="483"/>
      <c r="E492" s="484"/>
      <c r="F492" s="483"/>
      <c r="G492" s="483"/>
      <c r="H492" s="483"/>
      <c r="I492" s="485"/>
      <c r="J492" s="486"/>
      <c r="K492" s="238"/>
      <c r="L492" s="238"/>
    </row>
    <row r="493">
      <c r="A493" s="482"/>
      <c r="C493" s="483"/>
      <c r="D493" s="483"/>
      <c r="E493" s="484"/>
      <c r="F493" s="483"/>
      <c r="G493" s="483"/>
      <c r="H493" s="483"/>
      <c r="I493" s="485"/>
      <c r="J493" s="486"/>
      <c r="K493" s="238"/>
      <c r="L493" s="238"/>
    </row>
    <row r="494">
      <c r="A494" s="482"/>
      <c r="C494" s="483"/>
      <c r="D494" s="483"/>
      <c r="E494" s="484"/>
      <c r="F494" s="483"/>
      <c r="G494" s="483"/>
      <c r="H494" s="483"/>
      <c r="I494" s="485"/>
      <c r="J494" s="486"/>
      <c r="K494" s="238"/>
      <c r="L494" s="238"/>
    </row>
    <row r="495">
      <c r="A495" s="482"/>
      <c r="C495" s="483"/>
      <c r="D495" s="483"/>
      <c r="E495" s="484"/>
      <c r="F495" s="483"/>
      <c r="G495" s="483"/>
      <c r="H495" s="483"/>
      <c r="I495" s="485"/>
      <c r="J495" s="486"/>
      <c r="K495" s="238"/>
      <c r="L495" s="238"/>
    </row>
    <row r="496">
      <c r="A496" s="482"/>
      <c r="C496" s="483"/>
      <c r="D496" s="483"/>
      <c r="E496" s="484"/>
      <c r="F496" s="483"/>
      <c r="G496" s="483"/>
      <c r="H496" s="483"/>
      <c r="I496" s="485"/>
      <c r="J496" s="486"/>
      <c r="K496" s="238"/>
      <c r="L496" s="238"/>
    </row>
    <row r="497">
      <c r="A497" s="482"/>
      <c r="C497" s="483"/>
      <c r="D497" s="483"/>
      <c r="E497" s="484"/>
      <c r="F497" s="483"/>
      <c r="G497" s="483"/>
      <c r="H497" s="483"/>
      <c r="I497" s="485"/>
      <c r="J497" s="486"/>
      <c r="K497" s="238"/>
      <c r="L497" s="238"/>
    </row>
    <row r="498">
      <c r="A498" s="482"/>
      <c r="C498" s="483"/>
      <c r="D498" s="483"/>
      <c r="E498" s="484"/>
      <c r="F498" s="483"/>
      <c r="G498" s="483"/>
      <c r="H498" s="483"/>
      <c r="I498" s="485"/>
      <c r="J498" s="486"/>
      <c r="K498" s="238"/>
      <c r="L498" s="238"/>
    </row>
    <row r="499">
      <c r="A499" s="482"/>
      <c r="C499" s="483"/>
      <c r="D499" s="483"/>
      <c r="E499" s="484"/>
      <c r="F499" s="483"/>
      <c r="G499" s="483"/>
      <c r="H499" s="483"/>
      <c r="I499" s="485"/>
      <c r="J499" s="486"/>
      <c r="K499" s="238"/>
      <c r="L499" s="238"/>
    </row>
    <row r="500">
      <c r="A500" s="482"/>
      <c r="C500" s="483"/>
      <c r="D500" s="483"/>
      <c r="E500" s="484"/>
      <c r="F500" s="483"/>
      <c r="G500" s="483"/>
      <c r="H500" s="483"/>
      <c r="I500" s="485"/>
      <c r="J500" s="486"/>
      <c r="K500" s="238"/>
      <c r="L500" s="238"/>
    </row>
    <row r="501">
      <c r="A501" s="482"/>
      <c r="C501" s="483"/>
      <c r="D501" s="483"/>
      <c r="E501" s="484"/>
      <c r="F501" s="483"/>
      <c r="G501" s="483"/>
      <c r="H501" s="483"/>
      <c r="I501" s="485"/>
      <c r="J501" s="486"/>
      <c r="K501" s="238"/>
      <c r="L501" s="238"/>
    </row>
    <row r="502">
      <c r="A502" s="482"/>
      <c r="C502" s="483"/>
      <c r="D502" s="483"/>
      <c r="E502" s="484"/>
      <c r="F502" s="483"/>
      <c r="G502" s="483"/>
      <c r="H502" s="483"/>
      <c r="I502" s="485"/>
      <c r="J502" s="486"/>
      <c r="K502" s="238"/>
      <c r="L502" s="238"/>
    </row>
    <row r="503">
      <c r="A503" s="482"/>
      <c r="C503" s="483"/>
      <c r="D503" s="483"/>
      <c r="E503" s="484"/>
      <c r="F503" s="483"/>
      <c r="G503" s="483"/>
      <c r="H503" s="483"/>
      <c r="I503" s="485"/>
      <c r="J503" s="486"/>
      <c r="K503" s="238"/>
      <c r="L503" s="238"/>
    </row>
    <row r="504">
      <c r="A504" s="482"/>
      <c r="C504" s="483"/>
      <c r="D504" s="483"/>
      <c r="E504" s="484"/>
      <c r="F504" s="483"/>
      <c r="G504" s="483"/>
      <c r="H504" s="483"/>
      <c r="I504" s="485"/>
      <c r="J504" s="486"/>
      <c r="K504" s="238"/>
      <c r="L504" s="238"/>
    </row>
    <row r="505">
      <c r="A505" s="482"/>
      <c r="C505" s="483"/>
      <c r="D505" s="483"/>
      <c r="E505" s="484"/>
      <c r="F505" s="483"/>
      <c r="G505" s="483"/>
      <c r="H505" s="483"/>
      <c r="I505" s="485"/>
      <c r="J505" s="486"/>
      <c r="K505" s="238"/>
      <c r="L505" s="238"/>
    </row>
    <row r="506">
      <c r="A506" s="482"/>
      <c r="C506" s="483"/>
      <c r="D506" s="483"/>
      <c r="E506" s="484"/>
      <c r="F506" s="483"/>
      <c r="G506" s="483"/>
      <c r="H506" s="483"/>
      <c r="I506" s="485"/>
      <c r="J506" s="486"/>
      <c r="K506" s="238"/>
      <c r="L506" s="238"/>
    </row>
    <row r="507">
      <c r="A507" s="482"/>
      <c r="C507" s="483"/>
      <c r="D507" s="483"/>
      <c r="E507" s="484"/>
      <c r="F507" s="483"/>
      <c r="G507" s="483"/>
      <c r="H507" s="483"/>
      <c r="I507" s="485"/>
      <c r="J507" s="486"/>
      <c r="K507" s="238"/>
      <c r="L507" s="238"/>
    </row>
    <row r="508">
      <c r="A508" s="482"/>
      <c r="C508" s="483"/>
      <c r="D508" s="483"/>
      <c r="E508" s="484"/>
      <c r="F508" s="483"/>
      <c r="G508" s="483"/>
      <c r="H508" s="483"/>
      <c r="I508" s="485"/>
      <c r="J508" s="486"/>
      <c r="K508" s="238"/>
      <c r="L508" s="238"/>
    </row>
    <row r="509">
      <c r="A509" s="482"/>
      <c r="C509" s="483"/>
      <c r="D509" s="483"/>
      <c r="E509" s="484"/>
      <c r="F509" s="483"/>
      <c r="G509" s="483"/>
      <c r="H509" s="483"/>
      <c r="I509" s="485"/>
      <c r="J509" s="486"/>
      <c r="K509" s="238"/>
      <c r="L509" s="238"/>
    </row>
    <row r="510">
      <c r="A510" s="482"/>
      <c r="C510" s="483"/>
      <c r="D510" s="483"/>
      <c r="E510" s="484"/>
      <c r="F510" s="483"/>
      <c r="G510" s="483"/>
      <c r="H510" s="483"/>
      <c r="I510" s="485"/>
      <c r="J510" s="486"/>
      <c r="K510" s="238"/>
      <c r="L510" s="238"/>
    </row>
    <row r="511">
      <c r="A511" s="482"/>
      <c r="C511" s="483"/>
      <c r="D511" s="483"/>
      <c r="E511" s="484"/>
      <c r="F511" s="483"/>
      <c r="G511" s="483"/>
      <c r="H511" s="483"/>
      <c r="I511" s="485"/>
      <c r="J511" s="486"/>
      <c r="K511" s="238"/>
      <c r="L511" s="238"/>
    </row>
    <row r="512">
      <c r="A512" s="482"/>
      <c r="C512" s="483"/>
      <c r="D512" s="483"/>
      <c r="E512" s="484"/>
      <c r="F512" s="483"/>
      <c r="G512" s="483"/>
      <c r="H512" s="483"/>
      <c r="I512" s="485"/>
      <c r="J512" s="486"/>
      <c r="K512" s="238"/>
      <c r="L512" s="238"/>
    </row>
    <row r="513">
      <c r="A513" s="482"/>
      <c r="C513" s="483"/>
      <c r="D513" s="483"/>
      <c r="E513" s="484"/>
      <c r="F513" s="483"/>
      <c r="G513" s="483"/>
      <c r="H513" s="483"/>
      <c r="I513" s="485"/>
      <c r="J513" s="486"/>
      <c r="K513" s="238"/>
      <c r="L513" s="238"/>
    </row>
    <row r="514">
      <c r="A514" s="482"/>
      <c r="C514" s="483"/>
      <c r="D514" s="483"/>
      <c r="E514" s="484"/>
      <c r="F514" s="483"/>
      <c r="G514" s="483"/>
      <c r="H514" s="483"/>
      <c r="I514" s="485"/>
      <c r="J514" s="486"/>
      <c r="K514" s="238"/>
      <c r="L514" s="238"/>
    </row>
    <row r="515">
      <c r="A515" s="482"/>
      <c r="C515" s="483"/>
      <c r="D515" s="483"/>
      <c r="E515" s="484"/>
      <c r="F515" s="483"/>
      <c r="G515" s="483"/>
      <c r="H515" s="483"/>
      <c r="I515" s="485"/>
      <c r="J515" s="486"/>
      <c r="K515" s="238"/>
      <c r="L515" s="238"/>
    </row>
    <row r="516">
      <c r="A516" s="482"/>
      <c r="C516" s="483"/>
      <c r="D516" s="483"/>
      <c r="E516" s="484"/>
      <c r="F516" s="483"/>
      <c r="G516" s="483"/>
      <c r="H516" s="483"/>
      <c r="I516" s="485"/>
      <c r="J516" s="486"/>
      <c r="K516" s="238"/>
      <c r="L516" s="238"/>
    </row>
    <row r="517">
      <c r="A517" s="482"/>
      <c r="C517" s="483"/>
      <c r="D517" s="483"/>
      <c r="E517" s="484"/>
      <c r="F517" s="483"/>
      <c r="G517" s="483"/>
      <c r="H517" s="483"/>
      <c r="I517" s="485"/>
      <c r="J517" s="486"/>
      <c r="K517" s="238"/>
      <c r="L517" s="238"/>
    </row>
    <row r="518">
      <c r="A518" s="482"/>
      <c r="C518" s="483"/>
      <c r="D518" s="483"/>
      <c r="E518" s="484"/>
      <c r="F518" s="483"/>
      <c r="G518" s="483"/>
      <c r="H518" s="483"/>
      <c r="I518" s="485"/>
      <c r="J518" s="486"/>
      <c r="K518" s="238"/>
      <c r="L518" s="238"/>
    </row>
    <row r="519">
      <c r="A519" s="482"/>
      <c r="C519" s="483"/>
      <c r="D519" s="483"/>
      <c r="E519" s="484"/>
      <c r="F519" s="483"/>
      <c r="G519" s="483"/>
      <c r="H519" s="483"/>
      <c r="I519" s="485"/>
      <c r="J519" s="486"/>
      <c r="K519" s="238"/>
      <c r="L519" s="238"/>
    </row>
    <row r="520">
      <c r="A520" s="482"/>
      <c r="C520" s="483"/>
      <c r="D520" s="483"/>
      <c r="E520" s="484"/>
      <c r="F520" s="483"/>
      <c r="G520" s="483"/>
      <c r="H520" s="483"/>
      <c r="I520" s="485"/>
      <c r="J520" s="486"/>
      <c r="K520" s="238"/>
      <c r="L520" s="238"/>
    </row>
    <row r="521">
      <c r="A521" s="482"/>
      <c r="C521" s="483"/>
      <c r="D521" s="483"/>
      <c r="E521" s="484"/>
      <c r="F521" s="483"/>
      <c r="G521" s="483"/>
      <c r="H521" s="483"/>
      <c r="I521" s="485"/>
      <c r="J521" s="486"/>
      <c r="K521" s="238"/>
      <c r="L521" s="238"/>
    </row>
    <row r="522">
      <c r="A522" s="482"/>
      <c r="C522" s="483"/>
      <c r="D522" s="483"/>
      <c r="E522" s="484"/>
      <c r="F522" s="483"/>
      <c r="G522" s="483"/>
      <c r="H522" s="483"/>
      <c r="I522" s="485"/>
      <c r="J522" s="486"/>
      <c r="K522" s="238"/>
      <c r="L522" s="238"/>
    </row>
    <row r="523">
      <c r="A523" s="482"/>
      <c r="C523" s="483"/>
      <c r="D523" s="483"/>
      <c r="E523" s="484"/>
      <c r="F523" s="483"/>
      <c r="G523" s="483"/>
      <c r="H523" s="483"/>
      <c r="I523" s="485"/>
      <c r="J523" s="486"/>
      <c r="K523" s="238"/>
      <c r="L523" s="238"/>
    </row>
    <row r="524">
      <c r="A524" s="482"/>
      <c r="C524" s="483"/>
      <c r="D524" s="483"/>
      <c r="E524" s="484"/>
      <c r="F524" s="483"/>
      <c r="G524" s="483"/>
      <c r="H524" s="483"/>
      <c r="I524" s="485"/>
      <c r="J524" s="486"/>
      <c r="K524" s="238"/>
      <c r="L524" s="238"/>
    </row>
    <row r="525">
      <c r="A525" s="482"/>
      <c r="C525" s="483"/>
      <c r="D525" s="483"/>
      <c r="E525" s="484"/>
      <c r="F525" s="483"/>
      <c r="G525" s="483"/>
      <c r="H525" s="483"/>
      <c r="I525" s="485"/>
      <c r="J525" s="486"/>
      <c r="K525" s="238"/>
      <c r="L525" s="238"/>
    </row>
    <row r="526">
      <c r="A526" s="482"/>
      <c r="C526" s="483"/>
      <c r="D526" s="483"/>
      <c r="E526" s="484"/>
      <c r="F526" s="483"/>
      <c r="G526" s="483"/>
      <c r="H526" s="483"/>
      <c r="I526" s="485"/>
      <c r="J526" s="486"/>
      <c r="K526" s="238"/>
      <c r="L526" s="238"/>
    </row>
    <row r="527">
      <c r="A527" s="482"/>
      <c r="C527" s="483"/>
      <c r="D527" s="483"/>
      <c r="E527" s="484"/>
      <c r="F527" s="483"/>
      <c r="G527" s="483"/>
      <c r="H527" s="483"/>
      <c r="I527" s="485"/>
      <c r="J527" s="486"/>
      <c r="K527" s="238"/>
      <c r="L527" s="238"/>
    </row>
    <row r="528">
      <c r="A528" s="482"/>
      <c r="C528" s="483"/>
      <c r="D528" s="483"/>
      <c r="E528" s="484"/>
      <c r="F528" s="483"/>
      <c r="G528" s="483"/>
      <c r="H528" s="483"/>
      <c r="I528" s="485"/>
      <c r="J528" s="486"/>
      <c r="K528" s="238"/>
      <c r="L528" s="238"/>
    </row>
    <row r="529">
      <c r="A529" s="482"/>
      <c r="C529" s="483"/>
      <c r="D529" s="483"/>
      <c r="E529" s="484"/>
      <c r="F529" s="483"/>
      <c r="G529" s="483"/>
      <c r="H529" s="483"/>
      <c r="I529" s="485"/>
      <c r="J529" s="486"/>
      <c r="K529" s="238"/>
      <c r="L529" s="238"/>
    </row>
    <row r="530">
      <c r="A530" s="482"/>
      <c r="C530" s="483"/>
      <c r="D530" s="483"/>
      <c r="E530" s="484"/>
      <c r="F530" s="483"/>
      <c r="G530" s="483"/>
      <c r="H530" s="483"/>
      <c r="I530" s="485"/>
      <c r="J530" s="486"/>
      <c r="K530" s="238"/>
      <c r="L530" s="238"/>
    </row>
    <row r="531">
      <c r="A531" s="482"/>
      <c r="C531" s="483"/>
      <c r="D531" s="483"/>
      <c r="E531" s="484"/>
      <c r="F531" s="483"/>
      <c r="G531" s="483"/>
      <c r="H531" s="483"/>
      <c r="I531" s="485"/>
      <c r="J531" s="486"/>
      <c r="K531" s="238"/>
      <c r="L531" s="238"/>
    </row>
    <row r="532">
      <c r="A532" s="482"/>
      <c r="C532" s="483"/>
      <c r="D532" s="483"/>
      <c r="E532" s="484"/>
      <c r="F532" s="483"/>
      <c r="G532" s="483"/>
      <c r="H532" s="483"/>
      <c r="I532" s="485"/>
      <c r="J532" s="486"/>
      <c r="K532" s="238"/>
      <c r="L532" s="238"/>
    </row>
    <row r="533">
      <c r="A533" s="482"/>
      <c r="C533" s="483"/>
      <c r="D533" s="483"/>
      <c r="E533" s="484"/>
      <c r="F533" s="483"/>
      <c r="G533" s="483"/>
      <c r="H533" s="483"/>
      <c r="I533" s="485"/>
      <c r="J533" s="486"/>
      <c r="K533" s="238"/>
      <c r="L533" s="238"/>
    </row>
    <row r="534">
      <c r="A534" s="482"/>
      <c r="C534" s="483"/>
      <c r="D534" s="483"/>
      <c r="E534" s="484"/>
      <c r="F534" s="483"/>
      <c r="G534" s="483"/>
      <c r="H534" s="483"/>
      <c r="I534" s="485"/>
      <c r="J534" s="486"/>
      <c r="K534" s="238"/>
      <c r="L534" s="238"/>
    </row>
    <row r="535">
      <c r="A535" s="482"/>
      <c r="C535" s="483"/>
      <c r="D535" s="483"/>
      <c r="E535" s="484"/>
      <c r="F535" s="483"/>
      <c r="G535" s="483"/>
      <c r="H535" s="483"/>
      <c r="I535" s="485"/>
      <c r="J535" s="486"/>
      <c r="K535" s="238"/>
      <c r="L535" s="238"/>
    </row>
    <row r="536">
      <c r="A536" s="482"/>
      <c r="C536" s="483"/>
      <c r="D536" s="483"/>
      <c r="E536" s="484"/>
      <c r="F536" s="483"/>
      <c r="G536" s="483"/>
      <c r="H536" s="483"/>
      <c r="I536" s="485"/>
      <c r="J536" s="486"/>
      <c r="K536" s="238"/>
      <c r="L536" s="238"/>
    </row>
    <row r="537">
      <c r="A537" s="482"/>
      <c r="C537" s="483"/>
      <c r="D537" s="483"/>
      <c r="E537" s="484"/>
      <c r="F537" s="483"/>
      <c r="G537" s="483"/>
      <c r="H537" s="483"/>
      <c r="I537" s="485"/>
      <c r="J537" s="486"/>
      <c r="K537" s="238"/>
      <c r="L537" s="238"/>
    </row>
    <row r="538">
      <c r="A538" s="482"/>
      <c r="C538" s="483"/>
      <c r="D538" s="483"/>
      <c r="E538" s="484"/>
      <c r="F538" s="483"/>
      <c r="G538" s="483"/>
      <c r="H538" s="483"/>
      <c r="I538" s="485"/>
      <c r="J538" s="486"/>
      <c r="K538" s="238"/>
      <c r="L538" s="238"/>
    </row>
    <row r="539">
      <c r="A539" s="482"/>
      <c r="C539" s="483"/>
      <c r="D539" s="483"/>
      <c r="E539" s="484"/>
      <c r="F539" s="483"/>
      <c r="G539" s="483"/>
      <c r="H539" s="483"/>
      <c r="I539" s="485"/>
      <c r="J539" s="486"/>
      <c r="K539" s="238"/>
      <c r="L539" s="238"/>
    </row>
    <row r="540">
      <c r="A540" s="482"/>
      <c r="C540" s="483"/>
      <c r="D540" s="483"/>
      <c r="E540" s="484"/>
      <c r="F540" s="483"/>
      <c r="G540" s="483"/>
      <c r="H540" s="483"/>
      <c r="I540" s="485"/>
      <c r="J540" s="486"/>
      <c r="K540" s="238"/>
      <c r="L540" s="238"/>
    </row>
    <row r="541">
      <c r="A541" s="482"/>
      <c r="C541" s="483"/>
      <c r="D541" s="483"/>
      <c r="E541" s="484"/>
      <c r="F541" s="483"/>
      <c r="G541" s="483"/>
      <c r="H541" s="483"/>
      <c r="I541" s="485"/>
      <c r="J541" s="486"/>
      <c r="K541" s="238"/>
      <c r="L541" s="238"/>
    </row>
    <row r="542">
      <c r="A542" s="482"/>
      <c r="C542" s="483"/>
      <c r="D542" s="483"/>
      <c r="E542" s="484"/>
      <c r="F542" s="483"/>
      <c r="G542" s="483"/>
      <c r="H542" s="483"/>
      <c r="I542" s="485"/>
      <c r="J542" s="486"/>
      <c r="K542" s="238"/>
      <c r="L542" s="238"/>
    </row>
    <row r="543">
      <c r="A543" s="482"/>
      <c r="C543" s="483"/>
      <c r="D543" s="483"/>
      <c r="E543" s="484"/>
      <c r="F543" s="483"/>
      <c r="G543" s="483"/>
      <c r="H543" s="483"/>
      <c r="I543" s="485"/>
      <c r="J543" s="486"/>
      <c r="K543" s="238"/>
      <c r="L543" s="238"/>
    </row>
    <row r="544">
      <c r="A544" s="482"/>
      <c r="C544" s="483"/>
      <c r="D544" s="483"/>
      <c r="E544" s="484"/>
      <c r="F544" s="483"/>
      <c r="G544" s="483"/>
      <c r="H544" s="483"/>
      <c r="I544" s="485"/>
      <c r="J544" s="486"/>
      <c r="K544" s="238"/>
      <c r="L544" s="238"/>
    </row>
    <row r="545">
      <c r="A545" s="482"/>
      <c r="C545" s="483"/>
      <c r="D545" s="483"/>
      <c r="E545" s="484"/>
      <c r="F545" s="483"/>
      <c r="G545" s="483"/>
      <c r="H545" s="483"/>
      <c r="I545" s="485"/>
      <c r="J545" s="486"/>
      <c r="K545" s="238"/>
      <c r="L545" s="238"/>
    </row>
    <row r="546">
      <c r="A546" s="482"/>
      <c r="C546" s="483"/>
      <c r="D546" s="483"/>
      <c r="E546" s="484"/>
      <c r="F546" s="483"/>
      <c r="G546" s="483"/>
      <c r="H546" s="483"/>
      <c r="I546" s="485"/>
      <c r="J546" s="486"/>
      <c r="K546" s="238"/>
      <c r="L546" s="238"/>
    </row>
    <row r="547">
      <c r="A547" s="482"/>
      <c r="C547" s="483"/>
      <c r="D547" s="483"/>
      <c r="E547" s="484"/>
      <c r="F547" s="483"/>
      <c r="G547" s="483"/>
      <c r="H547" s="483"/>
      <c r="I547" s="485"/>
      <c r="J547" s="486"/>
      <c r="K547" s="238"/>
      <c r="L547" s="238"/>
    </row>
    <row r="548">
      <c r="A548" s="482"/>
      <c r="C548" s="483"/>
      <c r="D548" s="483"/>
      <c r="E548" s="484"/>
      <c r="F548" s="483"/>
      <c r="G548" s="483"/>
      <c r="H548" s="483"/>
      <c r="I548" s="485"/>
      <c r="J548" s="486"/>
      <c r="K548" s="238"/>
      <c r="L548" s="238"/>
    </row>
    <row r="549">
      <c r="A549" s="482"/>
      <c r="C549" s="483"/>
      <c r="D549" s="483"/>
      <c r="E549" s="484"/>
      <c r="F549" s="483"/>
      <c r="G549" s="483"/>
      <c r="H549" s="483"/>
      <c r="I549" s="485"/>
      <c r="J549" s="486"/>
      <c r="K549" s="238"/>
      <c r="L549" s="238"/>
    </row>
    <row r="550">
      <c r="A550" s="482"/>
      <c r="C550" s="483"/>
      <c r="D550" s="483"/>
      <c r="E550" s="484"/>
      <c r="F550" s="483"/>
      <c r="G550" s="483"/>
      <c r="H550" s="483"/>
      <c r="I550" s="485"/>
      <c r="J550" s="486"/>
      <c r="K550" s="238"/>
      <c r="L550" s="238"/>
    </row>
    <row r="551">
      <c r="A551" s="482"/>
      <c r="C551" s="483"/>
      <c r="D551" s="483"/>
      <c r="E551" s="484"/>
      <c r="F551" s="483"/>
      <c r="G551" s="483"/>
      <c r="H551" s="483"/>
      <c r="I551" s="485"/>
      <c r="J551" s="486"/>
      <c r="K551" s="238"/>
      <c r="L551" s="238"/>
    </row>
    <row r="552">
      <c r="A552" s="482"/>
      <c r="C552" s="483"/>
      <c r="D552" s="483"/>
      <c r="E552" s="484"/>
      <c r="F552" s="483"/>
      <c r="G552" s="483"/>
      <c r="H552" s="483"/>
      <c r="I552" s="485"/>
      <c r="J552" s="486"/>
      <c r="K552" s="238"/>
      <c r="L552" s="238"/>
    </row>
    <row r="553">
      <c r="A553" s="482"/>
      <c r="C553" s="483"/>
      <c r="D553" s="483"/>
      <c r="E553" s="484"/>
      <c r="F553" s="483"/>
      <c r="G553" s="483"/>
      <c r="H553" s="483"/>
      <c r="I553" s="485"/>
      <c r="J553" s="486"/>
      <c r="K553" s="238"/>
      <c r="L553" s="238"/>
    </row>
    <row r="554">
      <c r="A554" s="482"/>
      <c r="C554" s="483"/>
      <c r="D554" s="483"/>
      <c r="E554" s="484"/>
      <c r="F554" s="483"/>
      <c r="G554" s="483"/>
      <c r="H554" s="483"/>
      <c r="I554" s="485"/>
      <c r="J554" s="486"/>
      <c r="K554" s="238"/>
      <c r="L554" s="238"/>
    </row>
    <row r="555">
      <c r="A555" s="482"/>
      <c r="C555" s="483"/>
      <c r="D555" s="483"/>
      <c r="E555" s="484"/>
      <c r="F555" s="483"/>
      <c r="G555" s="483"/>
      <c r="H555" s="483"/>
      <c r="I555" s="485"/>
      <c r="J555" s="486"/>
      <c r="K555" s="238"/>
      <c r="L555" s="238"/>
    </row>
    <row r="556">
      <c r="A556" s="482"/>
      <c r="C556" s="483"/>
      <c r="D556" s="483"/>
      <c r="E556" s="484"/>
      <c r="F556" s="483"/>
      <c r="G556" s="483"/>
      <c r="H556" s="483"/>
      <c r="I556" s="485"/>
      <c r="J556" s="486"/>
      <c r="K556" s="238"/>
      <c r="L556" s="238"/>
    </row>
    <row r="557">
      <c r="A557" s="482"/>
      <c r="C557" s="483"/>
      <c r="D557" s="483"/>
      <c r="E557" s="484"/>
      <c r="F557" s="483"/>
      <c r="G557" s="483"/>
      <c r="H557" s="483"/>
      <c r="I557" s="485"/>
      <c r="J557" s="486"/>
      <c r="K557" s="238"/>
      <c r="L557" s="238"/>
    </row>
    <row r="558">
      <c r="A558" s="482"/>
      <c r="C558" s="483"/>
      <c r="D558" s="483"/>
      <c r="E558" s="484"/>
      <c r="F558" s="483"/>
      <c r="G558" s="483"/>
      <c r="H558" s="483"/>
      <c r="I558" s="485"/>
      <c r="J558" s="486"/>
      <c r="K558" s="238"/>
      <c r="L558" s="238"/>
    </row>
    <row r="559">
      <c r="A559" s="482"/>
      <c r="C559" s="483"/>
      <c r="D559" s="483"/>
      <c r="E559" s="484"/>
      <c r="F559" s="483"/>
      <c r="G559" s="483"/>
      <c r="H559" s="483"/>
      <c r="I559" s="485"/>
      <c r="J559" s="486"/>
      <c r="K559" s="238"/>
      <c r="L559" s="238"/>
    </row>
    <row r="560">
      <c r="A560" s="482"/>
      <c r="C560" s="483"/>
      <c r="D560" s="483"/>
      <c r="E560" s="484"/>
      <c r="F560" s="483"/>
      <c r="G560" s="483"/>
      <c r="H560" s="483"/>
      <c r="I560" s="485"/>
      <c r="J560" s="486"/>
      <c r="K560" s="238"/>
      <c r="L560" s="238"/>
    </row>
    <row r="561">
      <c r="A561" s="482"/>
      <c r="C561" s="483"/>
      <c r="D561" s="483"/>
      <c r="E561" s="484"/>
      <c r="F561" s="483"/>
      <c r="G561" s="483"/>
      <c r="H561" s="483"/>
      <c r="I561" s="485"/>
      <c r="J561" s="486"/>
      <c r="K561" s="238"/>
      <c r="L561" s="238"/>
    </row>
    <row r="562">
      <c r="A562" s="482"/>
      <c r="C562" s="483"/>
      <c r="D562" s="483"/>
      <c r="E562" s="484"/>
      <c r="F562" s="483"/>
      <c r="G562" s="483"/>
      <c r="H562" s="483"/>
      <c r="I562" s="485"/>
      <c r="J562" s="486"/>
      <c r="K562" s="238"/>
      <c r="L562" s="238"/>
    </row>
    <row r="563">
      <c r="A563" s="482"/>
      <c r="C563" s="483"/>
      <c r="D563" s="483"/>
      <c r="E563" s="484"/>
      <c r="F563" s="483"/>
      <c r="G563" s="483"/>
      <c r="H563" s="483"/>
      <c r="I563" s="485"/>
      <c r="J563" s="486"/>
      <c r="K563" s="238"/>
      <c r="L563" s="238"/>
    </row>
    <row r="564">
      <c r="A564" s="482"/>
      <c r="C564" s="483"/>
      <c r="D564" s="483"/>
      <c r="E564" s="484"/>
      <c r="F564" s="483"/>
      <c r="G564" s="483"/>
      <c r="H564" s="483"/>
      <c r="I564" s="485"/>
      <c r="J564" s="486"/>
      <c r="K564" s="238"/>
      <c r="L564" s="238"/>
    </row>
    <row r="565">
      <c r="A565" s="482"/>
      <c r="C565" s="483"/>
      <c r="D565" s="483"/>
      <c r="E565" s="484"/>
      <c r="F565" s="483"/>
      <c r="G565" s="483"/>
      <c r="H565" s="483"/>
      <c r="I565" s="485"/>
      <c r="J565" s="486"/>
      <c r="K565" s="238"/>
      <c r="L565" s="238"/>
    </row>
    <row r="566">
      <c r="A566" s="482"/>
      <c r="C566" s="483"/>
      <c r="D566" s="483"/>
      <c r="E566" s="484"/>
      <c r="F566" s="483"/>
      <c r="G566" s="483"/>
      <c r="H566" s="483"/>
      <c r="I566" s="485"/>
      <c r="J566" s="486"/>
      <c r="K566" s="238"/>
      <c r="L566" s="238"/>
    </row>
    <row r="567">
      <c r="A567" s="482"/>
      <c r="C567" s="483"/>
      <c r="D567" s="483"/>
      <c r="E567" s="484"/>
      <c r="F567" s="483"/>
      <c r="G567" s="483"/>
      <c r="H567" s="483"/>
      <c r="I567" s="485"/>
      <c r="J567" s="486"/>
      <c r="K567" s="238"/>
      <c r="L567" s="238"/>
    </row>
    <row r="568">
      <c r="A568" s="482"/>
      <c r="C568" s="483"/>
      <c r="D568" s="483"/>
      <c r="E568" s="484"/>
      <c r="F568" s="483"/>
      <c r="G568" s="483"/>
      <c r="H568" s="483"/>
      <c r="I568" s="485"/>
      <c r="J568" s="486"/>
      <c r="K568" s="238"/>
      <c r="L568" s="238"/>
    </row>
    <row r="569">
      <c r="A569" s="482"/>
      <c r="C569" s="483"/>
      <c r="D569" s="483"/>
      <c r="E569" s="484"/>
      <c r="F569" s="483"/>
      <c r="G569" s="483"/>
      <c r="H569" s="483"/>
      <c r="I569" s="485"/>
      <c r="J569" s="486"/>
      <c r="K569" s="238"/>
      <c r="L569" s="238"/>
    </row>
    <row r="570">
      <c r="A570" s="482"/>
      <c r="C570" s="483"/>
      <c r="D570" s="483"/>
      <c r="E570" s="484"/>
      <c r="F570" s="483"/>
      <c r="G570" s="483"/>
      <c r="H570" s="483"/>
      <c r="I570" s="485"/>
      <c r="J570" s="486"/>
      <c r="K570" s="238"/>
      <c r="L570" s="238"/>
    </row>
    <row r="571">
      <c r="A571" s="482"/>
      <c r="C571" s="483"/>
      <c r="D571" s="483"/>
      <c r="E571" s="484"/>
      <c r="F571" s="483"/>
      <c r="G571" s="483"/>
      <c r="H571" s="483"/>
      <c r="I571" s="485"/>
      <c r="J571" s="486"/>
      <c r="K571" s="238"/>
      <c r="L571" s="238"/>
    </row>
    <row r="572">
      <c r="A572" s="482"/>
      <c r="C572" s="483"/>
      <c r="D572" s="483"/>
      <c r="E572" s="484"/>
      <c r="F572" s="483"/>
      <c r="G572" s="483"/>
      <c r="H572" s="483"/>
      <c r="I572" s="485"/>
      <c r="J572" s="486"/>
      <c r="K572" s="238"/>
      <c r="L572" s="238"/>
    </row>
    <row r="573">
      <c r="A573" s="482"/>
      <c r="C573" s="483"/>
      <c r="D573" s="483"/>
      <c r="E573" s="484"/>
      <c r="F573" s="483"/>
      <c r="G573" s="483"/>
      <c r="H573" s="483"/>
      <c r="I573" s="485"/>
      <c r="J573" s="486"/>
      <c r="K573" s="238"/>
      <c r="L573" s="238"/>
    </row>
    <row r="574">
      <c r="A574" s="482"/>
      <c r="C574" s="483"/>
      <c r="D574" s="483"/>
      <c r="E574" s="484"/>
      <c r="F574" s="483"/>
      <c r="G574" s="483"/>
      <c r="H574" s="483"/>
      <c r="I574" s="485"/>
      <c r="J574" s="486"/>
      <c r="K574" s="238"/>
      <c r="L574" s="238"/>
    </row>
    <row r="575">
      <c r="A575" s="482"/>
      <c r="C575" s="483"/>
      <c r="D575" s="483"/>
      <c r="E575" s="484"/>
      <c r="F575" s="483"/>
      <c r="G575" s="483"/>
      <c r="H575" s="483"/>
      <c r="I575" s="485"/>
      <c r="J575" s="486"/>
      <c r="K575" s="238"/>
      <c r="L575" s="238"/>
    </row>
    <row r="576">
      <c r="A576" s="482"/>
      <c r="C576" s="483"/>
      <c r="D576" s="483"/>
      <c r="E576" s="484"/>
      <c r="F576" s="483"/>
      <c r="G576" s="483"/>
      <c r="H576" s="483"/>
      <c r="I576" s="485"/>
      <c r="J576" s="486"/>
      <c r="K576" s="238"/>
      <c r="L576" s="238"/>
    </row>
    <row r="577">
      <c r="A577" s="482"/>
      <c r="C577" s="483"/>
      <c r="D577" s="483"/>
      <c r="E577" s="484"/>
      <c r="F577" s="483"/>
      <c r="G577" s="483"/>
      <c r="H577" s="483"/>
      <c r="I577" s="485"/>
      <c r="J577" s="486"/>
      <c r="K577" s="238"/>
      <c r="L577" s="238"/>
    </row>
    <row r="578">
      <c r="A578" s="482"/>
      <c r="C578" s="483"/>
      <c r="D578" s="483"/>
      <c r="E578" s="484"/>
      <c r="F578" s="483"/>
      <c r="G578" s="483"/>
      <c r="H578" s="483"/>
      <c r="I578" s="485"/>
      <c r="J578" s="486"/>
      <c r="K578" s="238"/>
      <c r="L578" s="238"/>
    </row>
    <row r="579">
      <c r="A579" s="482"/>
      <c r="C579" s="483"/>
      <c r="D579" s="483"/>
      <c r="E579" s="484"/>
      <c r="F579" s="483"/>
      <c r="G579" s="483"/>
      <c r="H579" s="483"/>
      <c r="I579" s="485"/>
      <c r="J579" s="486"/>
      <c r="K579" s="238"/>
      <c r="L579" s="238"/>
    </row>
    <row r="580">
      <c r="A580" s="482"/>
      <c r="C580" s="483"/>
      <c r="D580" s="483"/>
      <c r="E580" s="484"/>
      <c r="F580" s="483"/>
      <c r="G580" s="483"/>
      <c r="H580" s="483"/>
      <c r="I580" s="485"/>
      <c r="J580" s="486"/>
      <c r="K580" s="238"/>
      <c r="L580" s="238"/>
    </row>
    <row r="581">
      <c r="A581" s="482"/>
      <c r="C581" s="483"/>
      <c r="D581" s="483"/>
      <c r="E581" s="484"/>
      <c r="F581" s="483"/>
      <c r="G581" s="483"/>
      <c r="H581" s="483"/>
      <c r="I581" s="485"/>
      <c r="J581" s="486"/>
      <c r="K581" s="238"/>
      <c r="L581" s="238"/>
    </row>
    <row r="582">
      <c r="A582" s="482"/>
      <c r="C582" s="483"/>
      <c r="D582" s="483"/>
      <c r="E582" s="484"/>
      <c r="F582" s="483"/>
      <c r="G582" s="483"/>
      <c r="H582" s="483"/>
      <c r="I582" s="485"/>
      <c r="J582" s="486"/>
      <c r="K582" s="238"/>
      <c r="L582" s="238"/>
    </row>
    <row r="583">
      <c r="A583" s="482"/>
      <c r="C583" s="483"/>
      <c r="D583" s="483"/>
      <c r="E583" s="484"/>
      <c r="F583" s="483"/>
      <c r="G583" s="483"/>
      <c r="H583" s="483"/>
      <c r="I583" s="485"/>
      <c r="J583" s="486"/>
      <c r="K583" s="238"/>
      <c r="L583" s="238"/>
    </row>
    <row r="584">
      <c r="A584" s="482"/>
      <c r="C584" s="483"/>
      <c r="D584" s="483"/>
      <c r="E584" s="484"/>
      <c r="F584" s="483"/>
      <c r="G584" s="483"/>
      <c r="H584" s="483"/>
      <c r="I584" s="485"/>
      <c r="J584" s="486"/>
      <c r="K584" s="238"/>
      <c r="L584" s="238"/>
    </row>
    <row r="585">
      <c r="A585" s="482"/>
      <c r="C585" s="483"/>
      <c r="D585" s="483"/>
      <c r="E585" s="484"/>
      <c r="F585" s="483"/>
      <c r="G585" s="483"/>
      <c r="H585" s="483"/>
      <c r="I585" s="485"/>
      <c r="J585" s="486"/>
      <c r="K585" s="238"/>
      <c r="L585" s="238"/>
    </row>
    <row r="586">
      <c r="A586" s="482"/>
      <c r="C586" s="483"/>
      <c r="D586" s="483"/>
      <c r="E586" s="484"/>
      <c r="F586" s="483"/>
      <c r="G586" s="483"/>
      <c r="H586" s="483"/>
      <c r="I586" s="485"/>
      <c r="J586" s="486"/>
      <c r="K586" s="238"/>
      <c r="L586" s="238"/>
    </row>
    <row r="587">
      <c r="A587" s="482"/>
      <c r="C587" s="483"/>
      <c r="D587" s="483"/>
      <c r="E587" s="484"/>
      <c r="F587" s="483"/>
      <c r="G587" s="483"/>
      <c r="H587" s="483"/>
      <c r="I587" s="485"/>
      <c r="J587" s="486"/>
      <c r="K587" s="238"/>
      <c r="L587" s="238"/>
    </row>
    <row r="588">
      <c r="A588" s="482"/>
      <c r="C588" s="483"/>
      <c r="D588" s="483"/>
      <c r="E588" s="484"/>
      <c r="F588" s="483"/>
      <c r="G588" s="483"/>
      <c r="H588" s="483"/>
      <c r="I588" s="485"/>
      <c r="J588" s="486"/>
      <c r="K588" s="238"/>
      <c r="L588" s="238"/>
    </row>
    <row r="589">
      <c r="A589" s="482"/>
      <c r="C589" s="483"/>
      <c r="D589" s="483"/>
      <c r="E589" s="484"/>
      <c r="F589" s="483"/>
      <c r="G589" s="483"/>
      <c r="H589" s="483"/>
      <c r="I589" s="485"/>
      <c r="J589" s="486"/>
      <c r="K589" s="238"/>
      <c r="L589" s="238"/>
    </row>
    <row r="590">
      <c r="A590" s="482"/>
      <c r="C590" s="483"/>
      <c r="D590" s="483"/>
      <c r="E590" s="484"/>
      <c r="F590" s="483"/>
      <c r="G590" s="483"/>
      <c r="H590" s="483"/>
      <c r="I590" s="485"/>
      <c r="J590" s="486"/>
      <c r="K590" s="238"/>
      <c r="L590" s="238"/>
    </row>
    <row r="591">
      <c r="A591" s="482"/>
      <c r="C591" s="483"/>
      <c r="D591" s="483"/>
      <c r="E591" s="484"/>
      <c r="F591" s="483"/>
      <c r="G591" s="483"/>
      <c r="H591" s="483"/>
      <c r="I591" s="485"/>
      <c r="J591" s="486"/>
      <c r="K591" s="238"/>
      <c r="L591" s="238"/>
    </row>
    <row r="592">
      <c r="A592" s="482"/>
      <c r="C592" s="483"/>
      <c r="D592" s="483"/>
      <c r="E592" s="484"/>
      <c r="F592" s="483"/>
      <c r="G592" s="483"/>
      <c r="H592" s="483"/>
      <c r="I592" s="485"/>
      <c r="J592" s="486"/>
      <c r="K592" s="238"/>
      <c r="L592" s="238"/>
    </row>
    <row r="593">
      <c r="A593" s="482"/>
      <c r="C593" s="483"/>
      <c r="D593" s="483"/>
      <c r="E593" s="484"/>
      <c r="F593" s="483"/>
      <c r="G593" s="483"/>
      <c r="H593" s="483"/>
      <c r="I593" s="485"/>
      <c r="J593" s="486"/>
      <c r="K593" s="238"/>
      <c r="L593" s="238"/>
    </row>
    <row r="594">
      <c r="A594" s="482"/>
      <c r="C594" s="483"/>
      <c r="D594" s="483"/>
      <c r="E594" s="484"/>
      <c r="F594" s="483"/>
      <c r="G594" s="483"/>
      <c r="H594" s="483"/>
      <c r="I594" s="485"/>
      <c r="J594" s="486"/>
      <c r="K594" s="238"/>
      <c r="L594" s="238"/>
    </row>
    <row r="595">
      <c r="A595" s="482"/>
      <c r="C595" s="483"/>
      <c r="D595" s="483"/>
      <c r="E595" s="484"/>
      <c r="F595" s="483"/>
      <c r="G595" s="483"/>
      <c r="H595" s="483"/>
      <c r="I595" s="485"/>
      <c r="J595" s="486"/>
      <c r="K595" s="238"/>
      <c r="L595" s="238"/>
    </row>
    <row r="596">
      <c r="A596" s="482"/>
      <c r="C596" s="483"/>
      <c r="D596" s="483"/>
      <c r="E596" s="484"/>
      <c r="F596" s="483"/>
      <c r="G596" s="483"/>
      <c r="H596" s="483"/>
      <c r="I596" s="485"/>
      <c r="J596" s="486"/>
      <c r="K596" s="238"/>
      <c r="L596" s="238"/>
    </row>
    <row r="597">
      <c r="A597" s="482"/>
      <c r="C597" s="483"/>
      <c r="D597" s="483"/>
      <c r="E597" s="484"/>
      <c r="F597" s="483"/>
      <c r="G597" s="483"/>
      <c r="H597" s="483"/>
      <c r="I597" s="485"/>
      <c r="J597" s="486"/>
      <c r="K597" s="238"/>
      <c r="L597" s="238"/>
    </row>
    <row r="598">
      <c r="A598" s="482"/>
      <c r="C598" s="483"/>
      <c r="D598" s="483"/>
      <c r="E598" s="484"/>
      <c r="F598" s="483"/>
      <c r="G598" s="483"/>
      <c r="H598" s="483"/>
      <c r="I598" s="485"/>
      <c r="J598" s="486"/>
      <c r="K598" s="238"/>
      <c r="L598" s="238"/>
    </row>
    <row r="599">
      <c r="A599" s="482"/>
      <c r="C599" s="483"/>
      <c r="D599" s="483"/>
      <c r="E599" s="484"/>
      <c r="F599" s="483"/>
      <c r="G599" s="483"/>
      <c r="H599" s="483"/>
      <c r="I599" s="485"/>
      <c r="J599" s="486"/>
      <c r="K599" s="238"/>
      <c r="L599" s="238"/>
    </row>
    <row r="600">
      <c r="A600" s="482"/>
      <c r="C600" s="483"/>
      <c r="D600" s="483"/>
      <c r="E600" s="484"/>
      <c r="F600" s="483"/>
      <c r="G600" s="483"/>
      <c r="H600" s="483"/>
      <c r="I600" s="485"/>
      <c r="J600" s="486"/>
      <c r="K600" s="238"/>
      <c r="L600" s="238"/>
    </row>
    <row r="601">
      <c r="A601" s="482"/>
      <c r="C601" s="483"/>
      <c r="D601" s="483"/>
      <c r="E601" s="484"/>
      <c r="F601" s="483"/>
      <c r="G601" s="483"/>
      <c r="H601" s="483"/>
      <c r="I601" s="485"/>
      <c r="J601" s="486"/>
      <c r="K601" s="238"/>
      <c r="L601" s="238"/>
    </row>
    <row r="602">
      <c r="A602" s="482"/>
      <c r="C602" s="483"/>
      <c r="D602" s="483"/>
      <c r="E602" s="484"/>
      <c r="F602" s="483"/>
      <c r="G602" s="483"/>
      <c r="H602" s="483"/>
      <c r="I602" s="485"/>
      <c r="J602" s="486"/>
      <c r="K602" s="238"/>
      <c r="L602" s="238"/>
    </row>
    <row r="603">
      <c r="A603" s="482"/>
      <c r="C603" s="483"/>
      <c r="D603" s="483"/>
      <c r="E603" s="484"/>
      <c r="F603" s="483"/>
      <c r="G603" s="483"/>
      <c r="H603" s="483"/>
      <c r="I603" s="485"/>
      <c r="J603" s="486"/>
      <c r="K603" s="238"/>
      <c r="L603" s="238"/>
    </row>
    <row r="604">
      <c r="A604" s="482"/>
      <c r="C604" s="483"/>
      <c r="D604" s="483"/>
      <c r="E604" s="484"/>
      <c r="F604" s="483"/>
      <c r="G604" s="483"/>
      <c r="H604" s="483"/>
      <c r="I604" s="485"/>
      <c r="J604" s="486"/>
      <c r="K604" s="238"/>
      <c r="L604" s="238"/>
    </row>
    <row r="605">
      <c r="A605" s="482"/>
      <c r="C605" s="483"/>
      <c r="D605" s="483"/>
      <c r="E605" s="484"/>
      <c r="F605" s="483"/>
      <c r="G605" s="483"/>
      <c r="H605" s="483"/>
      <c r="I605" s="485"/>
      <c r="J605" s="486"/>
      <c r="K605" s="238"/>
      <c r="L605" s="238"/>
    </row>
    <row r="606">
      <c r="A606" s="482"/>
      <c r="C606" s="483"/>
      <c r="D606" s="483"/>
      <c r="E606" s="484"/>
      <c r="F606" s="483"/>
      <c r="G606" s="483"/>
      <c r="H606" s="483"/>
      <c r="I606" s="485"/>
      <c r="J606" s="486"/>
      <c r="K606" s="238"/>
      <c r="L606" s="238"/>
    </row>
    <row r="607">
      <c r="A607" s="482"/>
      <c r="C607" s="483"/>
      <c r="D607" s="483"/>
      <c r="E607" s="484"/>
      <c r="F607" s="483"/>
      <c r="G607" s="483"/>
      <c r="H607" s="483"/>
      <c r="I607" s="485"/>
      <c r="J607" s="486"/>
      <c r="K607" s="238"/>
      <c r="L607" s="238"/>
    </row>
    <row r="608">
      <c r="A608" s="482"/>
      <c r="C608" s="483"/>
      <c r="D608" s="483"/>
      <c r="E608" s="484"/>
      <c r="F608" s="483"/>
      <c r="G608" s="483"/>
      <c r="H608" s="483"/>
      <c r="I608" s="485"/>
      <c r="J608" s="486"/>
      <c r="K608" s="238"/>
      <c r="L608" s="238"/>
    </row>
    <row r="609">
      <c r="A609" s="482"/>
      <c r="C609" s="483"/>
      <c r="D609" s="483"/>
      <c r="E609" s="484"/>
      <c r="F609" s="483"/>
      <c r="G609" s="483"/>
      <c r="H609" s="483"/>
      <c r="I609" s="485"/>
      <c r="J609" s="486"/>
      <c r="K609" s="238"/>
      <c r="L609" s="238"/>
    </row>
    <row r="610">
      <c r="A610" s="482"/>
      <c r="C610" s="483"/>
      <c r="D610" s="483"/>
      <c r="E610" s="484"/>
      <c r="F610" s="483"/>
      <c r="G610" s="483"/>
      <c r="H610" s="483"/>
      <c r="I610" s="485"/>
      <c r="J610" s="486"/>
      <c r="K610" s="238"/>
      <c r="L610" s="238"/>
    </row>
    <row r="611">
      <c r="A611" s="482"/>
      <c r="C611" s="483"/>
      <c r="D611" s="483"/>
      <c r="E611" s="484"/>
      <c r="F611" s="483"/>
      <c r="G611" s="483"/>
      <c r="H611" s="483"/>
      <c r="I611" s="485"/>
      <c r="J611" s="486"/>
      <c r="K611" s="238"/>
      <c r="L611" s="238"/>
    </row>
    <row r="612">
      <c r="A612" s="482"/>
      <c r="C612" s="483"/>
      <c r="D612" s="483"/>
      <c r="E612" s="484"/>
      <c r="F612" s="483"/>
      <c r="G612" s="483"/>
      <c r="H612" s="483"/>
      <c r="I612" s="485"/>
      <c r="J612" s="486"/>
      <c r="K612" s="238"/>
      <c r="L612" s="238"/>
    </row>
    <row r="613">
      <c r="A613" s="482"/>
      <c r="C613" s="483"/>
      <c r="D613" s="483"/>
      <c r="E613" s="484"/>
      <c r="F613" s="483"/>
      <c r="G613" s="483"/>
      <c r="H613" s="483"/>
      <c r="I613" s="485"/>
      <c r="J613" s="486"/>
      <c r="K613" s="238"/>
      <c r="L613" s="238"/>
    </row>
    <row r="614">
      <c r="A614" s="482"/>
      <c r="C614" s="483"/>
      <c r="D614" s="483"/>
      <c r="E614" s="484"/>
      <c r="F614" s="483"/>
      <c r="G614" s="483"/>
      <c r="H614" s="483"/>
      <c r="I614" s="485"/>
      <c r="J614" s="486"/>
      <c r="K614" s="238"/>
      <c r="L614" s="238"/>
    </row>
    <row r="615">
      <c r="A615" s="482"/>
      <c r="C615" s="483"/>
      <c r="D615" s="483"/>
      <c r="E615" s="484"/>
      <c r="F615" s="483"/>
      <c r="G615" s="483"/>
      <c r="H615" s="483"/>
      <c r="I615" s="485"/>
      <c r="J615" s="486"/>
      <c r="K615" s="238"/>
      <c r="L615" s="238"/>
    </row>
    <row r="616">
      <c r="A616" s="482"/>
      <c r="C616" s="483"/>
      <c r="D616" s="483"/>
      <c r="E616" s="484"/>
      <c r="F616" s="483"/>
      <c r="G616" s="483"/>
      <c r="H616" s="483"/>
      <c r="I616" s="485"/>
      <c r="J616" s="486"/>
      <c r="K616" s="238"/>
      <c r="L616" s="238"/>
    </row>
    <row r="617">
      <c r="A617" s="482"/>
      <c r="C617" s="483"/>
      <c r="D617" s="483"/>
      <c r="E617" s="484"/>
      <c r="F617" s="483"/>
      <c r="G617" s="483"/>
      <c r="H617" s="483"/>
      <c r="I617" s="485"/>
      <c r="J617" s="486"/>
      <c r="K617" s="238"/>
      <c r="L617" s="238"/>
    </row>
    <row r="618">
      <c r="A618" s="482"/>
      <c r="C618" s="483"/>
      <c r="D618" s="483"/>
      <c r="E618" s="484"/>
      <c r="F618" s="483"/>
      <c r="G618" s="483"/>
      <c r="H618" s="483"/>
      <c r="I618" s="485"/>
      <c r="J618" s="486"/>
      <c r="K618" s="238"/>
      <c r="L618" s="238"/>
    </row>
    <row r="619">
      <c r="A619" s="482"/>
      <c r="C619" s="483"/>
      <c r="D619" s="483"/>
      <c r="E619" s="484"/>
      <c r="F619" s="483"/>
      <c r="G619" s="483"/>
      <c r="H619" s="483"/>
      <c r="I619" s="485"/>
      <c r="J619" s="486"/>
      <c r="K619" s="238"/>
      <c r="L619" s="238"/>
    </row>
    <row r="620">
      <c r="A620" s="482"/>
      <c r="C620" s="483"/>
      <c r="D620" s="483"/>
      <c r="E620" s="484"/>
      <c r="F620" s="483"/>
      <c r="G620" s="483"/>
      <c r="H620" s="483"/>
      <c r="I620" s="485"/>
      <c r="J620" s="486"/>
      <c r="K620" s="238"/>
      <c r="L620" s="238"/>
    </row>
    <row r="621">
      <c r="A621" s="482"/>
      <c r="C621" s="483"/>
      <c r="D621" s="483"/>
      <c r="E621" s="484"/>
      <c r="F621" s="483"/>
      <c r="G621" s="483"/>
      <c r="H621" s="483"/>
      <c r="I621" s="485"/>
      <c r="J621" s="486"/>
      <c r="K621" s="238"/>
      <c r="L621" s="238"/>
    </row>
    <row r="622">
      <c r="A622" s="482"/>
      <c r="C622" s="483"/>
      <c r="D622" s="483"/>
      <c r="E622" s="484"/>
      <c r="F622" s="483"/>
      <c r="G622" s="483"/>
      <c r="H622" s="483"/>
      <c r="I622" s="485"/>
      <c r="J622" s="486"/>
      <c r="K622" s="238"/>
      <c r="L622" s="238"/>
    </row>
    <row r="623">
      <c r="A623" s="482"/>
      <c r="C623" s="483"/>
      <c r="D623" s="483"/>
      <c r="E623" s="484"/>
      <c r="F623" s="483"/>
      <c r="G623" s="483"/>
      <c r="H623" s="483"/>
      <c r="I623" s="485"/>
      <c r="J623" s="486"/>
      <c r="K623" s="238"/>
      <c r="L623" s="238"/>
    </row>
    <row r="624">
      <c r="A624" s="482"/>
      <c r="C624" s="483"/>
      <c r="D624" s="483"/>
      <c r="E624" s="484"/>
      <c r="F624" s="483"/>
      <c r="G624" s="483"/>
      <c r="H624" s="483"/>
      <c r="I624" s="485"/>
      <c r="J624" s="486"/>
      <c r="K624" s="238"/>
      <c r="L624" s="238"/>
    </row>
    <row r="625">
      <c r="A625" s="482"/>
      <c r="C625" s="483"/>
      <c r="D625" s="483"/>
      <c r="E625" s="484"/>
      <c r="F625" s="483"/>
      <c r="G625" s="483"/>
      <c r="H625" s="483"/>
      <c r="I625" s="485"/>
      <c r="J625" s="486"/>
      <c r="K625" s="238"/>
      <c r="L625" s="238"/>
    </row>
    <row r="626">
      <c r="A626" s="482"/>
      <c r="C626" s="483"/>
      <c r="D626" s="483"/>
      <c r="E626" s="484"/>
      <c r="F626" s="483"/>
      <c r="G626" s="483"/>
      <c r="H626" s="483"/>
      <c r="I626" s="485"/>
      <c r="J626" s="486"/>
      <c r="K626" s="238"/>
      <c r="L626" s="238"/>
    </row>
    <row r="627">
      <c r="A627" s="482"/>
      <c r="C627" s="483"/>
      <c r="D627" s="483"/>
      <c r="E627" s="484"/>
      <c r="F627" s="483"/>
      <c r="G627" s="483"/>
      <c r="H627" s="483"/>
      <c r="I627" s="485"/>
      <c r="J627" s="486"/>
      <c r="K627" s="238"/>
      <c r="L627" s="238"/>
    </row>
    <row r="628">
      <c r="A628" s="482"/>
      <c r="C628" s="483"/>
      <c r="D628" s="483"/>
      <c r="E628" s="484"/>
      <c r="F628" s="483"/>
      <c r="G628" s="483"/>
      <c r="H628" s="483"/>
      <c r="I628" s="485"/>
      <c r="J628" s="486"/>
      <c r="K628" s="238"/>
      <c r="L628" s="238"/>
    </row>
    <row r="629">
      <c r="A629" s="482"/>
      <c r="C629" s="483"/>
      <c r="D629" s="483"/>
      <c r="E629" s="484"/>
      <c r="F629" s="483"/>
      <c r="G629" s="483"/>
      <c r="H629" s="483"/>
      <c r="I629" s="485"/>
      <c r="J629" s="486"/>
      <c r="K629" s="238"/>
      <c r="L629" s="238"/>
    </row>
    <row r="630">
      <c r="A630" s="482"/>
      <c r="C630" s="483"/>
      <c r="D630" s="483"/>
      <c r="E630" s="484"/>
      <c r="F630" s="483"/>
      <c r="G630" s="483"/>
      <c r="H630" s="483"/>
      <c r="I630" s="485"/>
      <c r="J630" s="486"/>
      <c r="K630" s="238"/>
      <c r="L630" s="238"/>
    </row>
    <row r="631">
      <c r="A631" s="482"/>
      <c r="C631" s="483"/>
      <c r="D631" s="483"/>
      <c r="E631" s="484"/>
      <c r="F631" s="483"/>
      <c r="G631" s="483"/>
      <c r="H631" s="483"/>
      <c r="I631" s="485"/>
      <c r="J631" s="486"/>
      <c r="K631" s="238"/>
      <c r="L631" s="238"/>
    </row>
    <row r="632">
      <c r="A632" s="482"/>
      <c r="C632" s="483"/>
      <c r="D632" s="483"/>
      <c r="E632" s="484"/>
      <c r="F632" s="483"/>
      <c r="G632" s="483"/>
      <c r="H632" s="483"/>
      <c r="I632" s="485"/>
      <c r="J632" s="486"/>
      <c r="K632" s="238"/>
      <c r="L632" s="238"/>
    </row>
    <row r="633">
      <c r="A633" s="482"/>
      <c r="C633" s="483"/>
      <c r="D633" s="483"/>
      <c r="E633" s="484"/>
      <c r="F633" s="483"/>
      <c r="G633" s="483"/>
      <c r="H633" s="483"/>
      <c r="I633" s="485"/>
      <c r="J633" s="486"/>
      <c r="K633" s="238"/>
      <c r="L633" s="238"/>
    </row>
    <row r="634">
      <c r="A634" s="482"/>
      <c r="C634" s="483"/>
      <c r="D634" s="483"/>
      <c r="E634" s="484"/>
      <c r="F634" s="483"/>
      <c r="G634" s="483"/>
      <c r="H634" s="483"/>
      <c r="I634" s="485"/>
      <c r="J634" s="486"/>
      <c r="K634" s="238"/>
      <c r="L634" s="238"/>
    </row>
    <row r="635">
      <c r="A635" s="482"/>
      <c r="C635" s="483"/>
      <c r="D635" s="483"/>
      <c r="E635" s="484"/>
      <c r="F635" s="483"/>
      <c r="G635" s="483"/>
      <c r="H635" s="483"/>
      <c r="I635" s="485"/>
      <c r="J635" s="486"/>
      <c r="K635" s="238"/>
      <c r="L635" s="238"/>
    </row>
    <row r="636">
      <c r="A636" s="482"/>
      <c r="C636" s="483"/>
      <c r="D636" s="483"/>
      <c r="E636" s="484"/>
      <c r="F636" s="483"/>
      <c r="G636" s="483"/>
      <c r="H636" s="483"/>
      <c r="I636" s="485"/>
      <c r="J636" s="486"/>
      <c r="K636" s="238"/>
      <c r="L636" s="238"/>
    </row>
    <row r="637">
      <c r="A637" s="482"/>
      <c r="C637" s="483"/>
      <c r="D637" s="483"/>
      <c r="E637" s="484"/>
      <c r="F637" s="483"/>
      <c r="G637" s="483"/>
      <c r="H637" s="483"/>
      <c r="I637" s="485"/>
      <c r="J637" s="486"/>
      <c r="K637" s="238"/>
      <c r="L637" s="238"/>
    </row>
    <row r="638">
      <c r="A638" s="482"/>
      <c r="C638" s="483"/>
      <c r="D638" s="483"/>
      <c r="E638" s="484"/>
      <c r="F638" s="483"/>
      <c r="G638" s="483"/>
      <c r="H638" s="483"/>
      <c r="I638" s="485"/>
      <c r="J638" s="486"/>
      <c r="K638" s="238"/>
      <c r="L638" s="238"/>
    </row>
    <row r="639">
      <c r="A639" s="482"/>
      <c r="C639" s="483"/>
      <c r="D639" s="483"/>
      <c r="E639" s="484"/>
      <c r="F639" s="483"/>
      <c r="G639" s="483"/>
      <c r="H639" s="483"/>
      <c r="I639" s="485"/>
      <c r="J639" s="486"/>
      <c r="K639" s="238"/>
      <c r="L639" s="238"/>
    </row>
    <row r="640">
      <c r="A640" s="482"/>
      <c r="C640" s="483"/>
      <c r="D640" s="483"/>
      <c r="E640" s="484"/>
      <c r="F640" s="483"/>
      <c r="G640" s="483"/>
      <c r="H640" s="483"/>
      <c r="I640" s="485"/>
      <c r="J640" s="486"/>
      <c r="K640" s="238"/>
      <c r="L640" s="238"/>
    </row>
    <row r="641">
      <c r="A641" s="482"/>
      <c r="C641" s="483"/>
      <c r="D641" s="483"/>
      <c r="E641" s="484"/>
      <c r="F641" s="483"/>
      <c r="G641" s="483"/>
      <c r="H641" s="483"/>
      <c r="I641" s="485"/>
      <c r="J641" s="486"/>
      <c r="K641" s="238"/>
      <c r="L641" s="238"/>
    </row>
    <row r="642">
      <c r="A642" s="482"/>
      <c r="C642" s="483"/>
      <c r="D642" s="483"/>
      <c r="E642" s="484"/>
      <c r="F642" s="483"/>
      <c r="G642" s="483"/>
      <c r="H642" s="483"/>
      <c r="I642" s="485"/>
      <c r="J642" s="486"/>
      <c r="K642" s="238"/>
      <c r="L642" s="238"/>
    </row>
    <row r="643">
      <c r="A643" s="482"/>
      <c r="C643" s="483"/>
      <c r="D643" s="483"/>
      <c r="E643" s="484"/>
      <c r="F643" s="483"/>
      <c r="G643" s="483"/>
      <c r="H643" s="483"/>
      <c r="I643" s="485"/>
      <c r="J643" s="486"/>
      <c r="K643" s="238"/>
      <c r="L643" s="238"/>
    </row>
    <row r="644">
      <c r="A644" s="482"/>
      <c r="C644" s="483"/>
      <c r="D644" s="483"/>
      <c r="E644" s="484"/>
      <c r="F644" s="483"/>
      <c r="G644" s="483"/>
      <c r="H644" s="483"/>
      <c r="I644" s="485"/>
      <c r="J644" s="486"/>
      <c r="K644" s="238"/>
      <c r="L644" s="238"/>
    </row>
    <row r="645">
      <c r="A645" s="482"/>
      <c r="C645" s="483"/>
      <c r="D645" s="483"/>
      <c r="E645" s="484"/>
      <c r="F645" s="483"/>
      <c r="G645" s="483"/>
      <c r="H645" s="483"/>
      <c r="I645" s="485"/>
      <c r="J645" s="486"/>
      <c r="K645" s="238"/>
      <c r="L645" s="238"/>
    </row>
    <row r="646">
      <c r="A646" s="482"/>
      <c r="C646" s="483"/>
      <c r="D646" s="483"/>
      <c r="E646" s="484"/>
      <c r="F646" s="483"/>
      <c r="G646" s="483"/>
      <c r="H646" s="483"/>
      <c r="I646" s="485"/>
      <c r="J646" s="486"/>
      <c r="K646" s="238"/>
      <c r="L646" s="238"/>
    </row>
    <row r="647">
      <c r="A647" s="482"/>
      <c r="C647" s="483"/>
      <c r="D647" s="483"/>
      <c r="E647" s="484"/>
      <c r="F647" s="483"/>
      <c r="G647" s="483"/>
      <c r="H647" s="483"/>
      <c r="I647" s="485"/>
      <c r="J647" s="486"/>
      <c r="K647" s="238"/>
      <c r="L647" s="238"/>
    </row>
    <row r="648">
      <c r="A648" s="482"/>
      <c r="C648" s="483"/>
      <c r="D648" s="483"/>
      <c r="E648" s="484"/>
      <c r="F648" s="483"/>
      <c r="G648" s="483"/>
      <c r="H648" s="483"/>
      <c r="I648" s="485"/>
      <c r="J648" s="486"/>
      <c r="K648" s="238"/>
      <c r="L648" s="238"/>
    </row>
    <row r="649">
      <c r="A649" s="482"/>
      <c r="C649" s="483"/>
      <c r="D649" s="483"/>
      <c r="E649" s="484"/>
      <c r="F649" s="483"/>
      <c r="G649" s="483"/>
      <c r="H649" s="483"/>
      <c r="I649" s="485"/>
      <c r="J649" s="486"/>
      <c r="K649" s="238"/>
      <c r="L649" s="238"/>
    </row>
    <row r="650">
      <c r="A650" s="482"/>
      <c r="C650" s="483"/>
      <c r="D650" s="483"/>
      <c r="E650" s="484"/>
      <c r="F650" s="483"/>
      <c r="G650" s="483"/>
      <c r="H650" s="483"/>
      <c r="I650" s="485"/>
      <c r="J650" s="486"/>
      <c r="K650" s="238"/>
      <c r="L650" s="238"/>
    </row>
    <row r="651">
      <c r="A651" s="482"/>
      <c r="C651" s="483"/>
      <c r="D651" s="483"/>
      <c r="E651" s="484"/>
      <c r="F651" s="483"/>
      <c r="G651" s="483"/>
      <c r="H651" s="483"/>
      <c r="I651" s="485"/>
      <c r="J651" s="486"/>
      <c r="K651" s="238"/>
      <c r="L651" s="238"/>
    </row>
    <row r="652">
      <c r="A652" s="482"/>
      <c r="C652" s="483"/>
      <c r="D652" s="483"/>
      <c r="E652" s="484"/>
      <c r="F652" s="483"/>
      <c r="G652" s="483"/>
      <c r="H652" s="483"/>
      <c r="I652" s="485"/>
      <c r="J652" s="486"/>
      <c r="K652" s="238"/>
      <c r="L652" s="238"/>
    </row>
    <row r="653">
      <c r="A653" s="482"/>
      <c r="C653" s="483"/>
      <c r="D653" s="483"/>
      <c r="E653" s="484"/>
      <c r="F653" s="483"/>
      <c r="G653" s="483"/>
      <c r="H653" s="483"/>
      <c r="I653" s="485"/>
      <c r="J653" s="486"/>
      <c r="K653" s="238"/>
      <c r="L653" s="238"/>
    </row>
    <row r="654">
      <c r="A654" s="482"/>
      <c r="C654" s="483"/>
      <c r="D654" s="483"/>
      <c r="E654" s="484"/>
      <c r="F654" s="483"/>
      <c r="G654" s="483"/>
      <c r="H654" s="483"/>
      <c r="I654" s="485"/>
      <c r="J654" s="486"/>
      <c r="K654" s="238"/>
      <c r="L654" s="238"/>
    </row>
    <row r="655">
      <c r="A655" s="482"/>
      <c r="C655" s="483"/>
      <c r="D655" s="483"/>
      <c r="E655" s="484"/>
      <c r="F655" s="483"/>
      <c r="G655" s="483"/>
      <c r="H655" s="483"/>
      <c r="I655" s="485"/>
      <c r="J655" s="486"/>
      <c r="K655" s="238"/>
      <c r="L655" s="238"/>
    </row>
    <row r="656">
      <c r="A656" s="482"/>
      <c r="C656" s="483"/>
      <c r="D656" s="483"/>
      <c r="E656" s="484"/>
      <c r="F656" s="483"/>
      <c r="G656" s="483"/>
      <c r="H656" s="483"/>
      <c r="I656" s="485"/>
      <c r="J656" s="486"/>
      <c r="K656" s="238"/>
      <c r="L656" s="238"/>
    </row>
    <row r="657">
      <c r="A657" s="482"/>
      <c r="C657" s="483"/>
      <c r="D657" s="483"/>
      <c r="E657" s="484"/>
      <c r="F657" s="483"/>
      <c r="G657" s="483"/>
      <c r="H657" s="483"/>
      <c r="I657" s="485"/>
      <c r="J657" s="486"/>
      <c r="K657" s="238"/>
      <c r="L657" s="238"/>
    </row>
    <row r="658">
      <c r="A658" s="482"/>
      <c r="C658" s="483"/>
      <c r="D658" s="483"/>
      <c r="E658" s="484"/>
      <c r="F658" s="483"/>
      <c r="G658" s="483"/>
      <c r="H658" s="483"/>
      <c r="I658" s="485"/>
      <c r="J658" s="486"/>
      <c r="K658" s="238"/>
      <c r="L658" s="238"/>
    </row>
    <row r="659">
      <c r="A659" s="482"/>
      <c r="C659" s="483"/>
      <c r="D659" s="483"/>
      <c r="E659" s="484"/>
      <c r="F659" s="483"/>
      <c r="G659" s="483"/>
      <c r="H659" s="483"/>
      <c r="I659" s="485"/>
      <c r="J659" s="486"/>
      <c r="K659" s="238"/>
      <c r="L659" s="238"/>
    </row>
    <row r="660">
      <c r="A660" s="482"/>
      <c r="C660" s="483"/>
      <c r="D660" s="483"/>
      <c r="E660" s="484"/>
      <c r="F660" s="483"/>
      <c r="G660" s="483"/>
      <c r="H660" s="483"/>
      <c r="I660" s="485"/>
      <c r="J660" s="486"/>
      <c r="K660" s="238"/>
      <c r="L660" s="238"/>
    </row>
    <row r="661">
      <c r="A661" s="482"/>
      <c r="C661" s="483"/>
      <c r="D661" s="483"/>
      <c r="E661" s="484"/>
      <c r="F661" s="483"/>
      <c r="G661" s="483"/>
      <c r="H661" s="483"/>
      <c r="I661" s="485"/>
      <c r="J661" s="486"/>
      <c r="K661" s="238"/>
      <c r="L661" s="238"/>
    </row>
    <row r="662">
      <c r="A662" s="482"/>
      <c r="C662" s="483"/>
      <c r="D662" s="483"/>
      <c r="E662" s="484"/>
      <c r="F662" s="483"/>
      <c r="G662" s="483"/>
      <c r="H662" s="483"/>
      <c r="I662" s="485"/>
      <c r="J662" s="486"/>
      <c r="K662" s="238"/>
      <c r="L662" s="238"/>
    </row>
    <row r="663">
      <c r="A663" s="482"/>
      <c r="C663" s="483"/>
      <c r="D663" s="483"/>
      <c r="E663" s="484"/>
      <c r="F663" s="483"/>
      <c r="G663" s="483"/>
      <c r="H663" s="483"/>
      <c r="I663" s="485"/>
      <c r="J663" s="486"/>
      <c r="K663" s="238"/>
      <c r="L663" s="238"/>
    </row>
    <row r="664">
      <c r="A664" s="482"/>
      <c r="C664" s="483"/>
      <c r="D664" s="483"/>
      <c r="E664" s="484"/>
      <c r="F664" s="483"/>
      <c r="G664" s="483"/>
      <c r="H664" s="483"/>
      <c r="I664" s="485"/>
      <c r="J664" s="486"/>
      <c r="K664" s="238"/>
      <c r="L664" s="238"/>
    </row>
    <row r="665">
      <c r="A665" s="482"/>
      <c r="C665" s="483"/>
      <c r="D665" s="483"/>
      <c r="E665" s="484"/>
      <c r="F665" s="483"/>
      <c r="G665" s="483"/>
      <c r="H665" s="483"/>
      <c r="I665" s="485"/>
      <c r="J665" s="486"/>
      <c r="K665" s="238"/>
      <c r="L665" s="238"/>
    </row>
    <row r="666">
      <c r="A666" s="482"/>
      <c r="C666" s="483"/>
      <c r="D666" s="483"/>
      <c r="E666" s="484"/>
      <c r="F666" s="483"/>
      <c r="G666" s="483"/>
      <c r="H666" s="483"/>
      <c r="I666" s="485"/>
      <c r="J666" s="486"/>
      <c r="K666" s="238"/>
      <c r="L666" s="238"/>
    </row>
    <row r="667">
      <c r="A667" s="482"/>
      <c r="C667" s="483"/>
      <c r="D667" s="483"/>
      <c r="E667" s="484"/>
      <c r="F667" s="483"/>
      <c r="G667" s="483"/>
      <c r="H667" s="483"/>
      <c r="I667" s="485"/>
      <c r="J667" s="486"/>
      <c r="K667" s="238"/>
      <c r="L667" s="238"/>
    </row>
    <row r="668">
      <c r="A668" s="482"/>
      <c r="C668" s="483"/>
      <c r="D668" s="483"/>
      <c r="E668" s="484"/>
      <c r="F668" s="483"/>
      <c r="G668" s="483"/>
      <c r="H668" s="483"/>
      <c r="I668" s="485"/>
      <c r="J668" s="486"/>
      <c r="K668" s="238"/>
      <c r="L668" s="238"/>
    </row>
    <row r="669">
      <c r="A669" s="482"/>
      <c r="C669" s="483"/>
      <c r="D669" s="483"/>
      <c r="E669" s="484"/>
      <c r="F669" s="483"/>
      <c r="G669" s="483"/>
      <c r="H669" s="483"/>
      <c r="I669" s="485"/>
      <c r="J669" s="486"/>
      <c r="K669" s="238"/>
      <c r="L669" s="238"/>
    </row>
    <row r="670">
      <c r="A670" s="482"/>
      <c r="C670" s="483"/>
      <c r="D670" s="483"/>
      <c r="E670" s="484"/>
      <c r="F670" s="483"/>
      <c r="G670" s="483"/>
      <c r="H670" s="483"/>
      <c r="I670" s="485"/>
      <c r="J670" s="486"/>
      <c r="K670" s="238"/>
      <c r="L670" s="238"/>
    </row>
    <row r="671">
      <c r="A671" s="482"/>
      <c r="C671" s="483"/>
      <c r="D671" s="483"/>
      <c r="E671" s="484"/>
      <c r="F671" s="483"/>
      <c r="G671" s="483"/>
      <c r="H671" s="483"/>
      <c r="I671" s="485"/>
      <c r="J671" s="486"/>
      <c r="K671" s="238"/>
      <c r="L671" s="238"/>
    </row>
    <row r="672">
      <c r="A672" s="482"/>
      <c r="C672" s="483"/>
      <c r="D672" s="483"/>
      <c r="E672" s="484"/>
      <c r="F672" s="483"/>
      <c r="G672" s="483"/>
      <c r="H672" s="483"/>
      <c r="I672" s="485"/>
      <c r="J672" s="486"/>
      <c r="K672" s="238"/>
      <c r="L672" s="238"/>
    </row>
    <row r="673">
      <c r="A673" s="482"/>
      <c r="C673" s="483"/>
      <c r="D673" s="483"/>
      <c r="E673" s="484"/>
      <c r="F673" s="483"/>
      <c r="G673" s="483"/>
      <c r="H673" s="483"/>
      <c r="I673" s="485"/>
      <c r="J673" s="486"/>
      <c r="K673" s="238"/>
      <c r="L673" s="238"/>
    </row>
    <row r="674">
      <c r="A674" s="482"/>
      <c r="C674" s="483"/>
      <c r="D674" s="483"/>
      <c r="E674" s="484"/>
      <c r="F674" s="483"/>
      <c r="G674" s="483"/>
      <c r="H674" s="483"/>
      <c r="I674" s="485"/>
      <c r="J674" s="486"/>
      <c r="K674" s="238"/>
      <c r="L674" s="238"/>
    </row>
    <row r="675">
      <c r="A675" s="482"/>
      <c r="C675" s="483"/>
      <c r="D675" s="483"/>
      <c r="E675" s="484"/>
      <c r="F675" s="483"/>
      <c r="G675" s="483"/>
      <c r="H675" s="483"/>
      <c r="I675" s="485"/>
      <c r="J675" s="486"/>
      <c r="K675" s="238"/>
      <c r="L675" s="238"/>
    </row>
    <row r="676">
      <c r="A676" s="482"/>
      <c r="C676" s="483"/>
      <c r="D676" s="483"/>
      <c r="E676" s="484"/>
      <c r="F676" s="483"/>
      <c r="G676" s="483"/>
      <c r="H676" s="483"/>
      <c r="I676" s="485"/>
      <c r="J676" s="486"/>
      <c r="K676" s="238"/>
      <c r="L676" s="238"/>
    </row>
    <row r="677">
      <c r="A677" s="482"/>
      <c r="C677" s="483"/>
      <c r="D677" s="483"/>
      <c r="E677" s="484"/>
      <c r="F677" s="483"/>
      <c r="G677" s="483"/>
      <c r="H677" s="483"/>
      <c r="I677" s="485"/>
      <c r="J677" s="486"/>
      <c r="K677" s="238"/>
      <c r="L677" s="238"/>
    </row>
    <row r="678">
      <c r="A678" s="482"/>
      <c r="C678" s="483"/>
      <c r="D678" s="483"/>
      <c r="E678" s="484"/>
      <c r="F678" s="483"/>
      <c r="G678" s="483"/>
      <c r="H678" s="483"/>
      <c r="I678" s="485"/>
      <c r="J678" s="486"/>
      <c r="K678" s="238"/>
      <c r="L678" s="238"/>
    </row>
    <row r="679">
      <c r="A679" s="482"/>
      <c r="C679" s="483"/>
      <c r="D679" s="483"/>
      <c r="E679" s="484"/>
      <c r="F679" s="483"/>
      <c r="G679" s="483"/>
      <c r="H679" s="483"/>
      <c r="I679" s="485"/>
      <c r="J679" s="486"/>
      <c r="K679" s="238"/>
      <c r="L679" s="238"/>
    </row>
    <row r="680">
      <c r="A680" s="482"/>
      <c r="C680" s="483"/>
      <c r="D680" s="483"/>
      <c r="E680" s="484"/>
      <c r="F680" s="483"/>
      <c r="G680" s="483"/>
      <c r="H680" s="483"/>
      <c r="I680" s="485"/>
      <c r="J680" s="486"/>
      <c r="K680" s="238"/>
      <c r="L680" s="238"/>
    </row>
    <row r="681">
      <c r="A681" s="482"/>
      <c r="C681" s="483"/>
      <c r="D681" s="483"/>
      <c r="E681" s="484"/>
      <c r="F681" s="483"/>
      <c r="G681" s="483"/>
      <c r="H681" s="483"/>
      <c r="I681" s="485"/>
      <c r="J681" s="486"/>
      <c r="K681" s="238"/>
      <c r="L681" s="238"/>
    </row>
    <row r="682">
      <c r="A682" s="482"/>
      <c r="C682" s="483"/>
      <c r="D682" s="483"/>
      <c r="E682" s="484"/>
      <c r="F682" s="483"/>
      <c r="G682" s="483"/>
      <c r="H682" s="483"/>
      <c r="I682" s="485"/>
      <c r="J682" s="486"/>
      <c r="K682" s="238"/>
      <c r="L682" s="238"/>
    </row>
    <row r="683">
      <c r="A683" s="482"/>
      <c r="C683" s="483"/>
      <c r="D683" s="483"/>
      <c r="E683" s="484"/>
      <c r="F683" s="483"/>
      <c r="G683" s="483"/>
      <c r="H683" s="483"/>
      <c r="I683" s="485"/>
      <c r="J683" s="486"/>
      <c r="K683" s="238"/>
      <c r="L683" s="238"/>
    </row>
    <row r="684">
      <c r="A684" s="482"/>
      <c r="C684" s="483"/>
      <c r="D684" s="483"/>
      <c r="E684" s="484"/>
      <c r="F684" s="483"/>
      <c r="G684" s="483"/>
      <c r="H684" s="483"/>
      <c r="I684" s="485"/>
      <c r="J684" s="486"/>
      <c r="K684" s="238"/>
      <c r="L684" s="238"/>
    </row>
    <row r="685">
      <c r="A685" s="482"/>
      <c r="C685" s="483"/>
      <c r="D685" s="483"/>
      <c r="E685" s="484"/>
      <c r="F685" s="483"/>
      <c r="G685" s="483"/>
      <c r="H685" s="483"/>
      <c r="I685" s="485"/>
      <c r="J685" s="486"/>
      <c r="K685" s="238"/>
      <c r="L685" s="238"/>
    </row>
    <row r="686">
      <c r="A686" s="482"/>
      <c r="C686" s="483"/>
      <c r="D686" s="483"/>
      <c r="E686" s="484"/>
      <c r="F686" s="483"/>
      <c r="G686" s="483"/>
      <c r="H686" s="483"/>
      <c r="I686" s="485"/>
      <c r="J686" s="486"/>
      <c r="K686" s="238"/>
      <c r="L686" s="238"/>
    </row>
    <row r="687">
      <c r="A687" s="482"/>
      <c r="C687" s="483"/>
      <c r="D687" s="483"/>
      <c r="E687" s="484"/>
      <c r="F687" s="483"/>
      <c r="G687" s="483"/>
      <c r="H687" s="483"/>
      <c r="I687" s="485"/>
      <c r="J687" s="486"/>
      <c r="K687" s="238"/>
      <c r="L687" s="238"/>
    </row>
    <row r="688">
      <c r="A688" s="482"/>
      <c r="C688" s="483"/>
      <c r="D688" s="483"/>
      <c r="E688" s="484"/>
      <c r="F688" s="483"/>
      <c r="G688" s="483"/>
      <c r="H688" s="483"/>
      <c r="I688" s="485"/>
      <c r="J688" s="486"/>
      <c r="K688" s="238"/>
      <c r="L688" s="238"/>
    </row>
    <row r="689">
      <c r="A689" s="482"/>
      <c r="C689" s="483"/>
      <c r="D689" s="483"/>
      <c r="E689" s="484"/>
      <c r="F689" s="483"/>
      <c r="G689" s="483"/>
      <c r="H689" s="483"/>
      <c r="I689" s="485"/>
      <c r="J689" s="486"/>
      <c r="K689" s="238"/>
      <c r="L689" s="238"/>
    </row>
    <row r="690">
      <c r="A690" s="482"/>
      <c r="C690" s="483"/>
      <c r="D690" s="483"/>
      <c r="E690" s="484"/>
      <c r="F690" s="483"/>
      <c r="G690" s="483"/>
      <c r="H690" s="483"/>
      <c r="I690" s="485"/>
      <c r="J690" s="486"/>
      <c r="K690" s="238"/>
      <c r="L690" s="238"/>
    </row>
    <row r="691">
      <c r="A691" s="482"/>
      <c r="C691" s="483"/>
      <c r="D691" s="483"/>
      <c r="E691" s="484"/>
      <c r="F691" s="483"/>
      <c r="G691" s="483"/>
      <c r="H691" s="483"/>
      <c r="I691" s="485"/>
      <c r="J691" s="486"/>
      <c r="K691" s="238"/>
      <c r="L691" s="238"/>
    </row>
    <row r="692">
      <c r="A692" s="482"/>
      <c r="C692" s="483"/>
      <c r="D692" s="483"/>
      <c r="E692" s="484"/>
      <c r="F692" s="483"/>
      <c r="G692" s="483"/>
      <c r="H692" s="483"/>
      <c r="I692" s="485"/>
      <c r="J692" s="486"/>
      <c r="K692" s="238"/>
      <c r="L692" s="238"/>
    </row>
    <row r="693">
      <c r="A693" s="482"/>
      <c r="C693" s="483"/>
      <c r="D693" s="483"/>
      <c r="E693" s="484"/>
      <c r="F693" s="483"/>
      <c r="G693" s="483"/>
      <c r="H693" s="483"/>
      <c r="I693" s="485"/>
      <c r="J693" s="486"/>
      <c r="K693" s="238"/>
      <c r="L693" s="238"/>
    </row>
    <row r="694">
      <c r="A694" s="482"/>
      <c r="C694" s="483"/>
      <c r="D694" s="483"/>
      <c r="E694" s="484"/>
      <c r="F694" s="483"/>
      <c r="G694" s="483"/>
      <c r="H694" s="483"/>
      <c r="I694" s="485"/>
      <c r="J694" s="486"/>
      <c r="K694" s="238"/>
      <c r="L694" s="238"/>
    </row>
    <row r="695">
      <c r="A695" s="482"/>
      <c r="C695" s="483"/>
      <c r="D695" s="483"/>
      <c r="E695" s="484"/>
      <c r="F695" s="483"/>
      <c r="G695" s="483"/>
      <c r="H695" s="483"/>
      <c r="I695" s="485"/>
      <c r="J695" s="486"/>
      <c r="K695" s="238"/>
      <c r="L695" s="238"/>
    </row>
    <row r="696">
      <c r="A696" s="482"/>
      <c r="C696" s="483"/>
      <c r="D696" s="483"/>
      <c r="E696" s="484"/>
      <c r="F696" s="483"/>
      <c r="G696" s="483"/>
      <c r="H696" s="483"/>
      <c r="I696" s="485"/>
      <c r="J696" s="486"/>
      <c r="K696" s="238"/>
      <c r="L696" s="238"/>
    </row>
    <row r="697">
      <c r="A697" s="482"/>
      <c r="C697" s="483"/>
      <c r="D697" s="483"/>
      <c r="E697" s="484"/>
      <c r="F697" s="483"/>
      <c r="G697" s="483"/>
      <c r="H697" s="483"/>
      <c r="I697" s="485"/>
      <c r="J697" s="486"/>
      <c r="K697" s="238"/>
      <c r="L697" s="238"/>
    </row>
    <row r="698">
      <c r="A698" s="482"/>
      <c r="C698" s="483"/>
      <c r="D698" s="483"/>
      <c r="E698" s="484"/>
      <c r="F698" s="483"/>
      <c r="G698" s="483"/>
      <c r="H698" s="483"/>
      <c r="I698" s="485"/>
      <c r="J698" s="486"/>
      <c r="K698" s="238"/>
      <c r="L698" s="238"/>
    </row>
    <row r="699">
      <c r="A699" s="482"/>
      <c r="C699" s="483"/>
      <c r="D699" s="483"/>
      <c r="E699" s="484"/>
      <c r="F699" s="483"/>
      <c r="G699" s="483"/>
      <c r="H699" s="483"/>
      <c r="I699" s="485"/>
      <c r="J699" s="486"/>
      <c r="K699" s="238"/>
      <c r="L699" s="238"/>
    </row>
    <row r="700">
      <c r="A700" s="482"/>
      <c r="C700" s="483"/>
      <c r="D700" s="483"/>
      <c r="E700" s="484"/>
      <c r="F700" s="483"/>
      <c r="G700" s="483"/>
      <c r="H700" s="483"/>
      <c r="I700" s="485"/>
      <c r="J700" s="486"/>
      <c r="K700" s="238"/>
      <c r="L700" s="238"/>
    </row>
    <row r="701">
      <c r="A701" s="482"/>
      <c r="C701" s="483"/>
      <c r="D701" s="483"/>
      <c r="E701" s="484"/>
      <c r="F701" s="483"/>
      <c r="G701" s="483"/>
      <c r="H701" s="483"/>
      <c r="I701" s="485"/>
      <c r="J701" s="486"/>
      <c r="K701" s="238"/>
      <c r="L701" s="238"/>
    </row>
    <row r="702">
      <c r="A702" s="482"/>
      <c r="C702" s="483"/>
      <c r="D702" s="483"/>
      <c r="E702" s="484"/>
      <c r="F702" s="483"/>
      <c r="G702" s="483"/>
      <c r="H702" s="483"/>
      <c r="I702" s="485"/>
      <c r="J702" s="486"/>
      <c r="K702" s="238"/>
      <c r="L702" s="238"/>
    </row>
    <row r="703">
      <c r="A703" s="482"/>
      <c r="C703" s="483"/>
      <c r="D703" s="483"/>
      <c r="E703" s="484"/>
      <c r="F703" s="483"/>
      <c r="G703" s="483"/>
      <c r="H703" s="483"/>
      <c r="I703" s="485"/>
      <c r="J703" s="486"/>
      <c r="K703" s="238"/>
      <c r="L703" s="238"/>
    </row>
    <row r="704">
      <c r="A704" s="482"/>
      <c r="C704" s="483"/>
      <c r="D704" s="483"/>
      <c r="E704" s="484"/>
      <c r="F704" s="483"/>
      <c r="G704" s="483"/>
      <c r="H704" s="483"/>
      <c r="I704" s="485"/>
      <c r="J704" s="486"/>
      <c r="K704" s="238"/>
      <c r="L704" s="238"/>
    </row>
    <row r="705">
      <c r="A705" s="482"/>
      <c r="C705" s="483"/>
      <c r="D705" s="483"/>
      <c r="E705" s="484"/>
      <c r="F705" s="483"/>
      <c r="G705" s="483"/>
      <c r="H705" s="483"/>
      <c r="I705" s="485"/>
      <c r="J705" s="486"/>
      <c r="K705" s="238"/>
      <c r="L705" s="238"/>
    </row>
    <row r="706">
      <c r="A706" s="482"/>
      <c r="C706" s="483"/>
      <c r="D706" s="483"/>
      <c r="E706" s="484"/>
      <c r="F706" s="483"/>
      <c r="G706" s="483"/>
      <c r="H706" s="483"/>
      <c r="I706" s="485"/>
      <c r="J706" s="486"/>
      <c r="K706" s="238"/>
      <c r="L706" s="238"/>
    </row>
    <row r="707">
      <c r="A707" s="482"/>
      <c r="C707" s="483"/>
      <c r="D707" s="483"/>
      <c r="E707" s="484"/>
      <c r="F707" s="483"/>
      <c r="G707" s="483"/>
      <c r="H707" s="483"/>
      <c r="I707" s="485"/>
      <c r="J707" s="486"/>
      <c r="K707" s="238"/>
      <c r="L707" s="238"/>
    </row>
    <row r="708">
      <c r="A708" s="482"/>
      <c r="C708" s="483"/>
      <c r="D708" s="483"/>
      <c r="E708" s="484"/>
      <c r="F708" s="483"/>
      <c r="G708" s="483"/>
      <c r="H708" s="483"/>
      <c r="I708" s="485"/>
      <c r="J708" s="486"/>
      <c r="K708" s="238"/>
      <c r="L708" s="238"/>
    </row>
    <row r="709">
      <c r="A709" s="482"/>
      <c r="C709" s="483"/>
      <c r="D709" s="483"/>
      <c r="E709" s="484"/>
      <c r="F709" s="483"/>
      <c r="G709" s="483"/>
      <c r="H709" s="483"/>
      <c r="I709" s="485"/>
      <c r="J709" s="486"/>
      <c r="K709" s="238"/>
      <c r="L709" s="238"/>
    </row>
    <row r="710">
      <c r="A710" s="482"/>
      <c r="C710" s="483"/>
      <c r="D710" s="483"/>
      <c r="E710" s="484"/>
      <c r="F710" s="483"/>
      <c r="G710" s="483"/>
      <c r="H710" s="483"/>
      <c r="I710" s="485"/>
      <c r="J710" s="486"/>
      <c r="K710" s="238"/>
      <c r="L710" s="238"/>
    </row>
    <row r="711">
      <c r="A711" s="482"/>
      <c r="C711" s="483"/>
      <c r="D711" s="483"/>
      <c r="E711" s="484"/>
      <c r="F711" s="483"/>
      <c r="G711" s="483"/>
      <c r="H711" s="483"/>
      <c r="I711" s="485"/>
      <c r="J711" s="486"/>
      <c r="K711" s="238"/>
      <c r="L711" s="238"/>
    </row>
    <row r="712">
      <c r="A712" s="482"/>
      <c r="C712" s="483"/>
      <c r="D712" s="483"/>
      <c r="E712" s="484"/>
      <c r="F712" s="483"/>
      <c r="G712" s="483"/>
      <c r="H712" s="483"/>
      <c r="I712" s="485"/>
      <c r="J712" s="486"/>
      <c r="K712" s="238"/>
      <c r="L712" s="238"/>
    </row>
    <row r="713">
      <c r="A713" s="482"/>
      <c r="C713" s="483"/>
      <c r="D713" s="483"/>
      <c r="E713" s="484"/>
      <c r="F713" s="483"/>
      <c r="G713" s="483"/>
      <c r="H713" s="483"/>
      <c r="I713" s="485"/>
      <c r="J713" s="486"/>
      <c r="K713" s="238"/>
      <c r="L713" s="238"/>
    </row>
    <row r="714">
      <c r="A714" s="482"/>
      <c r="C714" s="483"/>
      <c r="D714" s="483"/>
      <c r="E714" s="484"/>
      <c r="F714" s="483"/>
      <c r="G714" s="483"/>
      <c r="H714" s="483"/>
      <c r="I714" s="485"/>
      <c r="J714" s="486"/>
      <c r="K714" s="238"/>
      <c r="L714" s="238"/>
    </row>
    <row r="715">
      <c r="A715" s="482"/>
      <c r="C715" s="483"/>
      <c r="D715" s="483"/>
      <c r="E715" s="484"/>
      <c r="F715" s="483"/>
      <c r="G715" s="483"/>
      <c r="H715" s="483"/>
      <c r="I715" s="485"/>
      <c r="J715" s="486"/>
      <c r="K715" s="238"/>
      <c r="L715" s="238"/>
    </row>
    <row r="716">
      <c r="A716" s="482"/>
      <c r="C716" s="483"/>
      <c r="D716" s="483"/>
      <c r="E716" s="484"/>
      <c r="F716" s="483"/>
      <c r="G716" s="483"/>
      <c r="H716" s="483"/>
      <c r="I716" s="485"/>
      <c r="J716" s="486"/>
      <c r="K716" s="238"/>
      <c r="L716" s="238"/>
    </row>
    <row r="717">
      <c r="A717" s="482"/>
      <c r="C717" s="483"/>
      <c r="D717" s="483"/>
      <c r="E717" s="484"/>
      <c r="F717" s="483"/>
      <c r="G717" s="483"/>
      <c r="H717" s="483"/>
      <c r="I717" s="485"/>
      <c r="J717" s="486"/>
      <c r="K717" s="238"/>
      <c r="L717" s="238"/>
    </row>
    <row r="718">
      <c r="A718" s="482"/>
      <c r="C718" s="483"/>
      <c r="D718" s="483"/>
      <c r="E718" s="484"/>
      <c r="F718" s="483"/>
      <c r="G718" s="483"/>
      <c r="H718" s="483"/>
      <c r="I718" s="485"/>
      <c r="J718" s="486"/>
      <c r="K718" s="238"/>
      <c r="L718" s="238"/>
    </row>
    <row r="719">
      <c r="A719" s="482"/>
      <c r="C719" s="483"/>
      <c r="D719" s="483"/>
      <c r="E719" s="484"/>
      <c r="F719" s="483"/>
      <c r="G719" s="483"/>
      <c r="H719" s="483"/>
      <c r="I719" s="485"/>
      <c r="J719" s="486"/>
      <c r="K719" s="238"/>
      <c r="L719" s="238"/>
    </row>
    <row r="720">
      <c r="A720" s="482"/>
      <c r="C720" s="483"/>
      <c r="D720" s="483"/>
      <c r="E720" s="484"/>
      <c r="F720" s="483"/>
      <c r="G720" s="483"/>
      <c r="H720" s="483"/>
      <c r="I720" s="485"/>
      <c r="J720" s="486"/>
      <c r="K720" s="238"/>
      <c r="L720" s="238"/>
    </row>
    <row r="721">
      <c r="A721" s="482"/>
      <c r="C721" s="483"/>
      <c r="D721" s="483"/>
      <c r="E721" s="484"/>
      <c r="F721" s="483"/>
      <c r="G721" s="483"/>
      <c r="H721" s="483"/>
      <c r="I721" s="485"/>
      <c r="J721" s="486"/>
      <c r="K721" s="238"/>
      <c r="L721" s="238"/>
    </row>
    <row r="722">
      <c r="A722" s="482"/>
      <c r="C722" s="483"/>
      <c r="D722" s="483"/>
      <c r="E722" s="484"/>
      <c r="F722" s="483"/>
      <c r="G722" s="483"/>
      <c r="H722" s="483"/>
      <c r="I722" s="485"/>
      <c r="J722" s="486"/>
      <c r="K722" s="238"/>
      <c r="L722" s="238"/>
    </row>
    <row r="723">
      <c r="A723" s="482"/>
      <c r="C723" s="483"/>
      <c r="D723" s="483"/>
      <c r="E723" s="484"/>
      <c r="F723" s="483"/>
      <c r="G723" s="483"/>
      <c r="H723" s="483"/>
      <c r="I723" s="485"/>
      <c r="J723" s="486"/>
      <c r="K723" s="238"/>
      <c r="L723" s="238"/>
    </row>
    <row r="724">
      <c r="A724" s="482"/>
      <c r="C724" s="483"/>
      <c r="D724" s="483"/>
      <c r="E724" s="484"/>
      <c r="F724" s="483"/>
      <c r="G724" s="483"/>
      <c r="H724" s="483"/>
      <c r="I724" s="485"/>
      <c r="J724" s="486"/>
      <c r="K724" s="238"/>
      <c r="L724" s="238"/>
    </row>
    <row r="725">
      <c r="A725" s="482"/>
      <c r="C725" s="483"/>
      <c r="D725" s="483"/>
      <c r="E725" s="484"/>
      <c r="F725" s="483"/>
      <c r="G725" s="483"/>
      <c r="H725" s="483"/>
      <c r="I725" s="485"/>
      <c r="J725" s="486"/>
      <c r="K725" s="238"/>
      <c r="L725" s="238"/>
    </row>
    <row r="726">
      <c r="A726" s="482"/>
      <c r="C726" s="483"/>
      <c r="D726" s="483"/>
      <c r="E726" s="484"/>
      <c r="F726" s="483"/>
      <c r="G726" s="483"/>
      <c r="H726" s="483"/>
      <c r="I726" s="485"/>
      <c r="J726" s="486"/>
      <c r="K726" s="238"/>
      <c r="L726" s="238"/>
    </row>
    <row r="727">
      <c r="A727" s="482"/>
      <c r="C727" s="483"/>
      <c r="D727" s="483"/>
      <c r="E727" s="484"/>
      <c r="F727" s="483"/>
      <c r="G727" s="483"/>
      <c r="H727" s="483"/>
      <c r="I727" s="485"/>
      <c r="J727" s="486"/>
      <c r="K727" s="238"/>
      <c r="L727" s="238"/>
    </row>
    <row r="728">
      <c r="A728" s="482"/>
      <c r="C728" s="483"/>
      <c r="D728" s="483"/>
      <c r="E728" s="484"/>
      <c r="F728" s="483"/>
      <c r="G728" s="483"/>
      <c r="H728" s="483"/>
      <c r="I728" s="485"/>
      <c r="J728" s="486"/>
      <c r="K728" s="238"/>
      <c r="L728" s="238"/>
    </row>
    <row r="729">
      <c r="A729" s="482"/>
      <c r="C729" s="483"/>
      <c r="D729" s="483"/>
      <c r="E729" s="484"/>
      <c r="F729" s="483"/>
      <c r="G729" s="483"/>
      <c r="H729" s="483"/>
      <c r="I729" s="485"/>
      <c r="J729" s="486"/>
      <c r="K729" s="238"/>
      <c r="L729" s="238"/>
    </row>
    <row r="730">
      <c r="A730" s="482"/>
      <c r="C730" s="483"/>
      <c r="D730" s="483"/>
      <c r="E730" s="484"/>
      <c r="F730" s="483"/>
      <c r="G730" s="483"/>
      <c r="H730" s="483"/>
      <c r="I730" s="485"/>
      <c r="J730" s="486"/>
      <c r="K730" s="238"/>
      <c r="L730" s="238"/>
    </row>
    <row r="731">
      <c r="A731" s="482"/>
      <c r="C731" s="483"/>
      <c r="D731" s="483"/>
      <c r="E731" s="484"/>
      <c r="F731" s="483"/>
      <c r="G731" s="483"/>
      <c r="H731" s="483"/>
      <c r="I731" s="485"/>
      <c r="J731" s="486"/>
      <c r="K731" s="238"/>
      <c r="L731" s="238"/>
    </row>
    <row r="732">
      <c r="A732" s="482"/>
      <c r="C732" s="483"/>
      <c r="D732" s="483"/>
      <c r="E732" s="484"/>
      <c r="F732" s="483"/>
      <c r="G732" s="483"/>
      <c r="H732" s="483"/>
      <c r="I732" s="485"/>
      <c r="J732" s="486"/>
      <c r="K732" s="238"/>
      <c r="L732" s="238"/>
    </row>
    <row r="733">
      <c r="A733" s="482"/>
      <c r="C733" s="483"/>
      <c r="D733" s="483"/>
      <c r="E733" s="484"/>
      <c r="F733" s="483"/>
      <c r="G733" s="483"/>
      <c r="H733" s="483"/>
      <c r="I733" s="485"/>
      <c r="J733" s="486"/>
      <c r="K733" s="238"/>
      <c r="L733" s="238"/>
    </row>
    <row r="734">
      <c r="A734" s="482"/>
      <c r="C734" s="483"/>
      <c r="D734" s="483"/>
      <c r="E734" s="484"/>
      <c r="F734" s="483"/>
      <c r="G734" s="483"/>
      <c r="H734" s="483"/>
      <c r="I734" s="485"/>
      <c r="J734" s="486"/>
      <c r="K734" s="238"/>
      <c r="L734" s="238"/>
    </row>
    <row r="735">
      <c r="A735" s="482"/>
      <c r="C735" s="483"/>
      <c r="D735" s="483"/>
      <c r="E735" s="484"/>
      <c r="F735" s="483"/>
      <c r="G735" s="483"/>
      <c r="H735" s="483"/>
      <c r="I735" s="485"/>
      <c r="J735" s="486"/>
      <c r="K735" s="238"/>
      <c r="L735" s="238"/>
    </row>
    <row r="736">
      <c r="A736" s="482"/>
      <c r="C736" s="483"/>
      <c r="D736" s="483"/>
      <c r="E736" s="484"/>
      <c r="F736" s="483"/>
      <c r="G736" s="483"/>
      <c r="H736" s="483"/>
      <c r="I736" s="485"/>
      <c r="J736" s="486"/>
      <c r="K736" s="238"/>
      <c r="L736" s="238"/>
    </row>
    <row r="737">
      <c r="A737" s="482"/>
      <c r="C737" s="483"/>
      <c r="D737" s="483"/>
      <c r="E737" s="484"/>
      <c r="F737" s="483"/>
      <c r="G737" s="483"/>
      <c r="H737" s="483"/>
      <c r="I737" s="485"/>
      <c r="J737" s="486"/>
      <c r="K737" s="238"/>
      <c r="L737" s="238"/>
    </row>
    <row r="738">
      <c r="A738" s="482"/>
      <c r="C738" s="483"/>
      <c r="D738" s="483"/>
      <c r="E738" s="484"/>
      <c r="F738" s="483"/>
      <c r="G738" s="483"/>
      <c r="H738" s="483"/>
      <c r="I738" s="485"/>
      <c r="J738" s="486"/>
      <c r="K738" s="238"/>
      <c r="L738" s="238"/>
    </row>
    <row r="739">
      <c r="A739" s="482"/>
      <c r="C739" s="483"/>
      <c r="D739" s="483"/>
      <c r="E739" s="484"/>
      <c r="F739" s="483"/>
      <c r="G739" s="483"/>
      <c r="H739" s="483"/>
      <c r="I739" s="485"/>
      <c r="J739" s="486"/>
      <c r="K739" s="238"/>
      <c r="L739" s="238"/>
    </row>
    <row r="740">
      <c r="A740" s="482"/>
      <c r="C740" s="483"/>
      <c r="D740" s="483"/>
      <c r="E740" s="484"/>
      <c r="F740" s="483"/>
      <c r="G740" s="483"/>
      <c r="H740" s="483"/>
      <c r="I740" s="485"/>
      <c r="J740" s="486"/>
      <c r="K740" s="238"/>
      <c r="L740" s="238"/>
    </row>
    <row r="741">
      <c r="A741" s="482"/>
      <c r="C741" s="483"/>
      <c r="D741" s="483"/>
      <c r="E741" s="484"/>
      <c r="F741" s="483"/>
      <c r="G741" s="483"/>
      <c r="H741" s="483"/>
      <c r="I741" s="485"/>
      <c r="J741" s="486"/>
      <c r="K741" s="238"/>
      <c r="L741" s="238"/>
    </row>
    <row r="742">
      <c r="A742" s="482"/>
      <c r="C742" s="483"/>
      <c r="D742" s="483"/>
      <c r="E742" s="484"/>
      <c r="F742" s="483"/>
      <c r="G742" s="483"/>
      <c r="H742" s="483"/>
      <c r="I742" s="485"/>
      <c r="J742" s="486"/>
      <c r="K742" s="238"/>
      <c r="L742" s="238"/>
    </row>
    <row r="743">
      <c r="A743" s="482"/>
      <c r="C743" s="483"/>
      <c r="D743" s="483"/>
      <c r="E743" s="484"/>
      <c r="F743" s="483"/>
      <c r="G743" s="483"/>
      <c r="H743" s="483"/>
      <c r="I743" s="485"/>
      <c r="J743" s="486"/>
      <c r="K743" s="238"/>
      <c r="L743" s="238"/>
    </row>
    <row r="744">
      <c r="A744" s="482"/>
      <c r="C744" s="483"/>
      <c r="D744" s="483"/>
      <c r="E744" s="484"/>
      <c r="F744" s="483"/>
      <c r="G744" s="483"/>
      <c r="H744" s="483"/>
      <c r="I744" s="485"/>
      <c r="J744" s="486"/>
      <c r="K744" s="238"/>
      <c r="L744" s="238"/>
    </row>
    <row r="745">
      <c r="A745" s="482"/>
      <c r="C745" s="483"/>
      <c r="D745" s="483"/>
      <c r="E745" s="484"/>
      <c r="F745" s="483"/>
      <c r="G745" s="483"/>
      <c r="H745" s="483"/>
      <c r="I745" s="485"/>
      <c r="J745" s="486"/>
      <c r="K745" s="238"/>
      <c r="L745" s="238"/>
    </row>
    <row r="746">
      <c r="A746" s="482"/>
      <c r="C746" s="483"/>
      <c r="D746" s="483"/>
      <c r="E746" s="484"/>
      <c r="F746" s="483"/>
      <c r="G746" s="483"/>
      <c r="H746" s="483"/>
      <c r="I746" s="485"/>
      <c r="J746" s="486"/>
      <c r="K746" s="238"/>
      <c r="L746" s="238"/>
    </row>
    <row r="747">
      <c r="A747" s="482"/>
      <c r="C747" s="483"/>
      <c r="D747" s="483"/>
      <c r="E747" s="484"/>
      <c r="F747" s="483"/>
      <c r="G747" s="483"/>
      <c r="H747" s="483"/>
      <c r="I747" s="485"/>
      <c r="J747" s="486"/>
      <c r="K747" s="238"/>
      <c r="L747" s="238"/>
    </row>
    <row r="748">
      <c r="A748" s="482"/>
      <c r="C748" s="483"/>
      <c r="D748" s="483"/>
      <c r="E748" s="484"/>
      <c r="F748" s="483"/>
      <c r="G748" s="483"/>
      <c r="H748" s="483"/>
      <c r="I748" s="485"/>
      <c r="J748" s="486"/>
      <c r="K748" s="238"/>
      <c r="L748" s="238"/>
    </row>
    <row r="749">
      <c r="A749" s="482"/>
      <c r="C749" s="483"/>
      <c r="D749" s="483"/>
      <c r="E749" s="484"/>
      <c r="F749" s="483"/>
      <c r="G749" s="483"/>
      <c r="H749" s="483"/>
      <c r="I749" s="485"/>
      <c r="J749" s="486"/>
      <c r="K749" s="238"/>
      <c r="L749" s="238"/>
    </row>
    <row r="750">
      <c r="A750" s="482"/>
      <c r="C750" s="483"/>
      <c r="D750" s="483"/>
      <c r="E750" s="484"/>
      <c r="F750" s="483"/>
      <c r="G750" s="483"/>
      <c r="H750" s="483"/>
      <c r="I750" s="485"/>
      <c r="J750" s="486"/>
      <c r="K750" s="238"/>
      <c r="L750" s="238"/>
    </row>
    <row r="751">
      <c r="A751" s="482"/>
      <c r="C751" s="483"/>
      <c r="D751" s="483"/>
      <c r="E751" s="484"/>
      <c r="F751" s="483"/>
      <c r="G751" s="483"/>
      <c r="H751" s="483"/>
      <c r="I751" s="485"/>
      <c r="J751" s="486"/>
      <c r="K751" s="238"/>
      <c r="L751" s="238"/>
    </row>
    <row r="752">
      <c r="A752" s="482"/>
      <c r="C752" s="483"/>
      <c r="D752" s="483"/>
      <c r="E752" s="484"/>
      <c r="F752" s="483"/>
      <c r="G752" s="483"/>
      <c r="H752" s="483"/>
      <c r="I752" s="485"/>
      <c r="J752" s="486"/>
      <c r="K752" s="238"/>
      <c r="L752" s="238"/>
    </row>
    <row r="753">
      <c r="A753" s="482"/>
      <c r="C753" s="483"/>
      <c r="D753" s="483"/>
      <c r="E753" s="484"/>
      <c r="F753" s="483"/>
      <c r="G753" s="483"/>
      <c r="H753" s="483"/>
      <c r="I753" s="485"/>
      <c r="J753" s="486"/>
      <c r="K753" s="238"/>
      <c r="L753" s="238"/>
    </row>
    <row r="754">
      <c r="A754" s="482"/>
      <c r="C754" s="483"/>
      <c r="D754" s="483"/>
      <c r="E754" s="484"/>
      <c r="F754" s="483"/>
      <c r="G754" s="483"/>
      <c r="H754" s="483"/>
      <c r="I754" s="485"/>
      <c r="J754" s="486"/>
      <c r="K754" s="238"/>
      <c r="L754" s="238"/>
    </row>
    <row r="755">
      <c r="A755" s="482"/>
      <c r="C755" s="483"/>
      <c r="D755" s="483"/>
      <c r="E755" s="484"/>
      <c r="F755" s="483"/>
      <c r="G755" s="483"/>
      <c r="H755" s="483"/>
      <c r="I755" s="485"/>
      <c r="J755" s="486"/>
      <c r="K755" s="238"/>
      <c r="L755" s="238"/>
    </row>
    <row r="756">
      <c r="A756" s="482"/>
      <c r="C756" s="483"/>
      <c r="D756" s="483"/>
      <c r="E756" s="484"/>
      <c r="F756" s="483"/>
      <c r="G756" s="483"/>
      <c r="H756" s="483"/>
      <c r="I756" s="485"/>
      <c r="J756" s="486"/>
      <c r="K756" s="238"/>
      <c r="L756" s="238"/>
    </row>
    <row r="757">
      <c r="A757" s="482"/>
      <c r="C757" s="483"/>
      <c r="D757" s="483"/>
      <c r="E757" s="484"/>
      <c r="F757" s="483"/>
      <c r="G757" s="483"/>
      <c r="H757" s="483"/>
      <c r="I757" s="485"/>
      <c r="J757" s="486"/>
      <c r="K757" s="238"/>
      <c r="L757" s="238"/>
    </row>
    <row r="758">
      <c r="A758" s="482"/>
      <c r="C758" s="483"/>
      <c r="D758" s="483"/>
      <c r="E758" s="484"/>
      <c r="F758" s="483"/>
      <c r="G758" s="483"/>
      <c r="H758" s="483"/>
      <c r="I758" s="485"/>
      <c r="J758" s="486"/>
      <c r="K758" s="238"/>
      <c r="L758" s="238"/>
    </row>
    <row r="759">
      <c r="A759" s="482"/>
      <c r="C759" s="483"/>
      <c r="D759" s="483"/>
      <c r="E759" s="484"/>
      <c r="F759" s="483"/>
      <c r="G759" s="483"/>
      <c r="H759" s="483"/>
      <c r="I759" s="485"/>
      <c r="J759" s="486"/>
      <c r="K759" s="238"/>
      <c r="L759" s="238"/>
    </row>
    <row r="760">
      <c r="A760" s="482"/>
      <c r="C760" s="483"/>
      <c r="D760" s="483"/>
      <c r="E760" s="484"/>
      <c r="F760" s="483"/>
      <c r="G760" s="483"/>
      <c r="H760" s="483"/>
      <c r="I760" s="485"/>
      <c r="J760" s="486"/>
      <c r="K760" s="238"/>
      <c r="L760" s="238"/>
    </row>
    <row r="761">
      <c r="A761" s="482"/>
      <c r="C761" s="483"/>
      <c r="D761" s="483"/>
      <c r="E761" s="484"/>
      <c r="F761" s="483"/>
      <c r="G761" s="483"/>
      <c r="H761" s="483"/>
      <c r="I761" s="485"/>
      <c r="J761" s="486"/>
      <c r="K761" s="238"/>
      <c r="L761" s="238"/>
    </row>
    <row r="762">
      <c r="A762" s="482"/>
      <c r="C762" s="483"/>
      <c r="D762" s="483"/>
      <c r="E762" s="484"/>
      <c r="F762" s="483"/>
      <c r="G762" s="483"/>
      <c r="H762" s="483"/>
      <c r="I762" s="485"/>
      <c r="J762" s="486"/>
      <c r="K762" s="238"/>
      <c r="L762" s="238"/>
    </row>
    <row r="763">
      <c r="A763" s="482"/>
      <c r="C763" s="483"/>
      <c r="D763" s="483"/>
      <c r="E763" s="484"/>
      <c r="F763" s="483"/>
      <c r="G763" s="483"/>
      <c r="H763" s="483"/>
      <c r="I763" s="485"/>
      <c r="J763" s="486"/>
      <c r="K763" s="238"/>
      <c r="L763" s="238"/>
    </row>
    <row r="764">
      <c r="A764" s="482"/>
      <c r="C764" s="483"/>
      <c r="D764" s="483"/>
      <c r="E764" s="484"/>
      <c r="F764" s="483"/>
      <c r="G764" s="483"/>
      <c r="H764" s="483"/>
      <c r="I764" s="485"/>
      <c r="J764" s="486"/>
      <c r="K764" s="238"/>
      <c r="L764" s="238"/>
    </row>
    <row r="765">
      <c r="A765" s="482"/>
      <c r="C765" s="483"/>
      <c r="D765" s="483"/>
      <c r="E765" s="484"/>
      <c r="F765" s="483"/>
      <c r="G765" s="483"/>
      <c r="H765" s="483"/>
      <c r="I765" s="485"/>
      <c r="J765" s="486"/>
      <c r="K765" s="238"/>
      <c r="L765" s="238"/>
    </row>
    <row r="766">
      <c r="A766" s="482"/>
      <c r="C766" s="483"/>
      <c r="D766" s="483"/>
      <c r="E766" s="484"/>
      <c r="F766" s="483"/>
      <c r="G766" s="483"/>
      <c r="H766" s="483"/>
      <c r="I766" s="485"/>
      <c r="J766" s="486"/>
      <c r="K766" s="238"/>
      <c r="L766" s="238"/>
    </row>
    <row r="767">
      <c r="A767" s="482"/>
      <c r="C767" s="483"/>
      <c r="D767" s="483"/>
      <c r="E767" s="484"/>
      <c r="F767" s="483"/>
      <c r="G767" s="483"/>
      <c r="H767" s="483"/>
      <c r="I767" s="485"/>
      <c r="J767" s="486"/>
      <c r="K767" s="238"/>
      <c r="L767" s="238"/>
    </row>
    <row r="768">
      <c r="A768" s="482"/>
      <c r="C768" s="483"/>
      <c r="D768" s="483"/>
      <c r="E768" s="484"/>
      <c r="F768" s="483"/>
      <c r="G768" s="483"/>
      <c r="H768" s="483"/>
      <c r="I768" s="485"/>
      <c r="J768" s="486"/>
      <c r="K768" s="238"/>
      <c r="L768" s="238"/>
    </row>
    <row r="769">
      <c r="A769" s="482"/>
      <c r="C769" s="483"/>
      <c r="D769" s="483"/>
      <c r="E769" s="484"/>
      <c r="F769" s="483"/>
      <c r="G769" s="483"/>
      <c r="H769" s="483"/>
      <c r="I769" s="485"/>
      <c r="J769" s="486"/>
      <c r="K769" s="238"/>
      <c r="L769" s="238"/>
    </row>
    <row r="770">
      <c r="A770" s="482"/>
      <c r="C770" s="483"/>
      <c r="D770" s="483"/>
      <c r="E770" s="484"/>
      <c r="F770" s="483"/>
      <c r="G770" s="483"/>
      <c r="H770" s="483"/>
      <c r="I770" s="485"/>
      <c r="J770" s="486"/>
      <c r="K770" s="238"/>
      <c r="L770" s="238"/>
    </row>
    <row r="771">
      <c r="A771" s="482"/>
      <c r="C771" s="483"/>
      <c r="D771" s="483"/>
      <c r="E771" s="484"/>
      <c r="F771" s="483"/>
      <c r="G771" s="483"/>
      <c r="H771" s="483"/>
      <c r="I771" s="485"/>
      <c r="J771" s="486"/>
      <c r="K771" s="238"/>
      <c r="L771" s="238"/>
    </row>
    <row r="772">
      <c r="A772" s="482"/>
      <c r="C772" s="483"/>
      <c r="D772" s="483"/>
      <c r="E772" s="484"/>
      <c r="F772" s="483"/>
      <c r="G772" s="483"/>
      <c r="H772" s="483"/>
      <c r="I772" s="485"/>
      <c r="J772" s="486"/>
      <c r="K772" s="238"/>
      <c r="L772" s="238"/>
    </row>
    <row r="773">
      <c r="A773" s="482"/>
      <c r="C773" s="483"/>
      <c r="D773" s="483"/>
      <c r="E773" s="484"/>
      <c r="F773" s="483"/>
      <c r="G773" s="483"/>
      <c r="H773" s="483"/>
      <c r="I773" s="485"/>
      <c r="J773" s="486"/>
      <c r="K773" s="238"/>
      <c r="L773" s="238"/>
    </row>
    <row r="774">
      <c r="A774" s="482"/>
      <c r="C774" s="483"/>
      <c r="D774" s="483"/>
      <c r="E774" s="484"/>
      <c r="F774" s="483"/>
      <c r="G774" s="483"/>
      <c r="H774" s="483"/>
      <c r="I774" s="485"/>
      <c r="J774" s="486"/>
      <c r="K774" s="238"/>
      <c r="L774" s="238"/>
    </row>
    <row r="775">
      <c r="A775" s="482"/>
      <c r="C775" s="483"/>
      <c r="D775" s="483"/>
      <c r="E775" s="484"/>
      <c r="F775" s="483"/>
      <c r="G775" s="483"/>
      <c r="H775" s="483"/>
      <c r="I775" s="485"/>
      <c r="J775" s="486"/>
      <c r="K775" s="238"/>
      <c r="L775" s="238"/>
    </row>
    <row r="776">
      <c r="A776" s="482"/>
      <c r="C776" s="483"/>
      <c r="D776" s="483"/>
      <c r="E776" s="484"/>
      <c r="F776" s="483"/>
      <c r="G776" s="483"/>
      <c r="H776" s="483"/>
      <c r="I776" s="485"/>
      <c r="J776" s="486"/>
      <c r="K776" s="238"/>
      <c r="L776" s="238"/>
    </row>
    <row r="777">
      <c r="A777" s="482"/>
      <c r="C777" s="483"/>
      <c r="D777" s="483"/>
      <c r="E777" s="484"/>
      <c r="F777" s="483"/>
      <c r="G777" s="483"/>
      <c r="H777" s="483"/>
      <c r="I777" s="485"/>
      <c r="J777" s="486"/>
      <c r="K777" s="238"/>
      <c r="L777" s="238"/>
    </row>
    <row r="778">
      <c r="A778" s="482"/>
      <c r="C778" s="483"/>
      <c r="D778" s="483"/>
      <c r="E778" s="484"/>
      <c r="F778" s="483"/>
      <c r="G778" s="483"/>
      <c r="H778" s="483"/>
      <c r="I778" s="485"/>
      <c r="J778" s="486"/>
      <c r="K778" s="238"/>
      <c r="L778" s="238"/>
    </row>
    <row r="779">
      <c r="A779" s="482"/>
      <c r="C779" s="483"/>
      <c r="D779" s="483"/>
      <c r="E779" s="484"/>
      <c r="F779" s="483"/>
      <c r="G779" s="483"/>
      <c r="H779" s="483"/>
      <c r="I779" s="485"/>
      <c r="J779" s="486"/>
      <c r="K779" s="238"/>
      <c r="L779" s="238"/>
    </row>
    <row r="780">
      <c r="A780" s="482"/>
      <c r="C780" s="483"/>
      <c r="D780" s="483"/>
      <c r="E780" s="484"/>
      <c r="F780" s="483"/>
      <c r="G780" s="483"/>
      <c r="H780" s="483"/>
      <c r="I780" s="485"/>
      <c r="J780" s="486"/>
      <c r="K780" s="238"/>
      <c r="L780" s="238"/>
    </row>
    <row r="781">
      <c r="A781" s="482"/>
      <c r="C781" s="483"/>
      <c r="D781" s="483"/>
      <c r="E781" s="484"/>
      <c r="F781" s="483"/>
      <c r="G781" s="483"/>
      <c r="H781" s="483"/>
      <c r="I781" s="485"/>
      <c r="J781" s="486"/>
      <c r="K781" s="238"/>
      <c r="L781" s="238"/>
    </row>
    <row r="782">
      <c r="A782" s="482"/>
      <c r="C782" s="483"/>
      <c r="D782" s="483"/>
      <c r="E782" s="484"/>
      <c r="F782" s="483"/>
      <c r="G782" s="483"/>
      <c r="H782" s="483"/>
      <c r="I782" s="485"/>
      <c r="J782" s="486"/>
      <c r="K782" s="238"/>
      <c r="L782" s="238"/>
    </row>
    <row r="783">
      <c r="A783" s="482"/>
      <c r="C783" s="483"/>
      <c r="D783" s="483"/>
      <c r="E783" s="484"/>
      <c r="F783" s="483"/>
      <c r="G783" s="483"/>
      <c r="H783" s="483"/>
      <c r="I783" s="485"/>
      <c r="J783" s="486"/>
      <c r="K783" s="238"/>
      <c r="L783" s="238"/>
    </row>
    <row r="784">
      <c r="A784" s="482"/>
      <c r="C784" s="483"/>
      <c r="D784" s="483"/>
      <c r="E784" s="484"/>
      <c r="F784" s="483"/>
      <c r="G784" s="483"/>
      <c r="H784" s="483"/>
      <c r="I784" s="485"/>
      <c r="J784" s="486"/>
      <c r="K784" s="238"/>
      <c r="L784" s="238"/>
    </row>
    <row r="785">
      <c r="A785" s="482"/>
      <c r="C785" s="483"/>
      <c r="D785" s="483"/>
      <c r="E785" s="484"/>
      <c r="F785" s="483"/>
      <c r="G785" s="483"/>
      <c r="H785" s="483"/>
      <c r="I785" s="485"/>
      <c r="J785" s="486"/>
      <c r="K785" s="238"/>
      <c r="L785" s="238"/>
    </row>
    <row r="786">
      <c r="A786" s="482"/>
      <c r="C786" s="483"/>
      <c r="D786" s="483"/>
      <c r="E786" s="484"/>
      <c r="F786" s="483"/>
      <c r="G786" s="483"/>
      <c r="H786" s="483"/>
      <c r="I786" s="485"/>
      <c r="J786" s="486"/>
      <c r="K786" s="238"/>
      <c r="L786" s="238"/>
    </row>
    <row r="787">
      <c r="A787" s="482"/>
      <c r="C787" s="483"/>
      <c r="D787" s="483"/>
      <c r="E787" s="484"/>
      <c r="F787" s="483"/>
      <c r="G787" s="483"/>
      <c r="H787" s="483"/>
      <c r="I787" s="485"/>
      <c r="J787" s="486"/>
      <c r="K787" s="238"/>
      <c r="L787" s="238"/>
    </row>
    <row r="788">
      <c r="A788" s="482"/>
      <c r="C788" s="483"/>
      <c r="D788" s="483"/>
      <c r="E788" s="484"/>
      <c r="F788" s="483"/>
      <c r="G788" s="483"/>
      <c r="H788" s="483"/>
      <c r="I788" s="485"/>
      <c r="J788" s="486"/>
      <c r="K788" s="238"/>
      <c r="L788" s="238"/>
    </row>
    <row r="789">
      <c r="A789" s="482"/>
      <c r="C789" s="483"/>
      <c r="D789" s="483"/>
      <c r="E789" s="484"/>
      <c r="F789" s="483"/>
      <c r="G789" s="483"/>
      <c r="H789" s="483"/>
      <c r="I789" s="485"/>
      <c r="J789" s="486"/>
      <c r="K789" s="238"/>
      <c r="L789" s="238"/>
    </row>
    <row r="790">
      <c r="A790" s="482"/>
      <c r="C790" s="483"/>
      <c r="D790" s="483"/>
      <c r="E790" s="484"/>
      <c r="F790" s="483"/>
      <c r="G790" s="483"/>
      <c r="H790" s="483"/>
      <c r="I790" s="485"/>
      <c r="J790" s="486"/>
      <c r="K790" s="238"/>
      <c r="L790" s="238"/>
    </row>
    <row r="791">
      <c r="A791" s="482"/>
      <c r="C791" s="483"/>
      <c r="D791" s="483"/>
      <c r="E791" s="484"/>
      <c r="F791" s="483"/>
      <c r="G791" s="483"/>
      <c r="H791" s="483"/>
      <c r="I791" s="485"/>
      <c r="J791" s="486"/>
      <c r="K791" s="238"/>
      <c r="L791" s="238"/>
    </row>
    <row r="792">
      <c r="A792" s="482"/>
      <c r="C792" s="483"/>
      <c r="D792" s="483"/>
      <c r="E792" s="484"/>
      <c r="F792" s="483"/>
      <c r="G792" s="483"/>
      <c r="H792" s="483"/>
      <c r="I792" s="485"/>
      <c r="J792" s="486"/>
      <c r="K792" s="238"/>
      <c r="L792" s="238"/>
    </row>
    <row r="793">
      <c r="A793" s="482"/>
      <c r="C793" s="483"/>
      <c r="D793" s="483"/>
      <c r="E793" s="484"/>
      <c r="F793" s="483"/>
      <c r="G793" s="483"/>
      <c r="H793" s="483"/>
      <c r="I793" s="485"/>
      <c r="J793" s="486"/>
      <c r="K793" s="238"/>
      <c r="L793" s="238"/>
    </row>
    <row r="794">
      <c r="A794" s="482"/>
      <c r="C794" s="483"/>
      <c r="D794" s="483"/>
      <c r="E794" s="484"/>
      <c r="F794" s="483"/>
      <c r="G794" s="483"/>
      <c r="H794" s="483"/>
      <c r="I794" s="485"/>
      <c r="J794" s="486"/>
      <c r="K794" s="238"/>
      <c r="L794" s="238"/>
    </row>
    <row r="795">
      <c r="A795" s="482"/>
      <c r="C795" s="483"/>
      <c r="D795" s="483"/>
      <c r="E795" s="484"/>
      <c r="F795" s="483"/>
      <c r="G795" s="483"/>
      <c r="H795" s="483"/>
      <c r="I795" s="485"/>
      <c r="J795" s="486"/>
      <c r="K795" s="238"/>
      <c r="L795" s="238"/>
    </row>
    <row r="796">
      <c r="A796" s="482"/>
      <c r="C796" s="483"/>
      <c r="D796" s="483"/>
      <c r="E796" s="484"/>
      <c r="F796" s="483"/>
      <c r="G796" s="483"/>
      <c r="H796" s="483"/>
      <c r="I796" s="485"/>
      <c r="J796" s="486"/>
      <c r="K796" s="238"/>
      <c r="L796" s="238"/>
    </row>
    <row r="797">
      <c r="A797" s="482"/>
      <c r="C797" s="483"/>
      <c r="D797" s="483"/>
      <c r="E797" s="484"/>
      <c r="F797" s="483"/>
      <c r="G797" s="483"/>
      <c r="H797" s="483"/>
      <c r="I797" s="485"/>
      <c r="J797" s="486"/>
      <c r="K797" s="238"/>
      <c r="L797" s="238"/>
    </row>
    <row r="798">
      <c r="A798" s="482"/>
      <c r="C798" s="483"/>
      <c r="D798" s="483"/>
      <c r="E798" s="484"/>
      <c r="F798" s="483"/>
      <c r="G798" s="483"/>
      <c r="H798" s="483"/>
      <c r="I798" s="485"/>
      <c r="J798" s="486"/>
      <c r="K798" s="238"/>
      <c r="L798" s="238"/>
    </row>
    <row r="799">
      <c r="A799" s="482"/>
      <c r="C799" s="483"/>
      <c r="D799" s="483"/>
      <c r="E799" s="484"/>
      <c r="F799" s="483"/>
      <c r="G799" s="483"/>
      <c r="H799" s="483"/>
      <c r="I799" s="485"/>
      <c r="J799" s="486"/>
      <c r="K799" s="238"/>
      <c r="L799" s="238"/>
    </row>
    <row r="800">
      <c r="A800" s="482"/>
      <c r="C800" s="483"/>
      <c r="D800" s="483"/>
      <c r="E800" s="484"/>
      <c r="F800" s="483"/>
      <c r="G800" s="483"/>
      <c r="H800" s="483"/>
      <c r="I800" s="485"/>
      <c r="J800" s="486"/>
      <c r="K800" s="238"/>
      <c r="L800" s="238"/>
    </row>
    <row r="801">
      <c r="A801" s="482"/>
      <c r="C801" s="483"/>
      <c r="D801" s="483"/>
      <c r="E801" s="484"/>
      <c r="F801" s="483"/>
      <c r="G801" s="483"/>
      <c r="H801" s="483"/>
      <c r="I801" s="485"/>
      <c r="J801" s="486"/>
      <c r="K801" s="238"/>
      <c r="L801" s="238"/>
    </row>
    <row r="802">
      <c r="A802" s="482"/>
      <c r="C802" s="483"/>
      <c r="D802" s="483"/>
      <c r="E802" s="484"/>
      <c r="F802" s="483"/>
      <c r="G802" s="483"/>
      <c r="H802" s="483"/>
      <c r="I802" s="485"/>
      <c r="J802" s="486"/>
      <c r="K802" s="238"/>
      <c r="L802" s="238"/>
    </row>
    <row r="803">
      <c r="A803" s="482"/>
      <c r="C803" s="483"/>
      <c r="D803" s="483"/>
      <c r="E803" s="484"/>
      <c r="F803" s="483"/>
      <c r="G803" s="483"/>
      <c r="H803" s="483"/>
      <c r="I803" s="485"/>
      <c r="J803" s="486"/>
      <c r="K803" s="238"/>
      <c r="L803" s="238"/>
    </row>
    <row r="804">
      <c r="A804" s="482"/>
      <c r="C804" s="483"/>
      <c r="D804" s="483"/>
      <c r="E804" s="484"/>
      <c r="F804" s="483"/>
      <c r="G804" s="483"/>
      <c r="H804" s="483"/>
      <c r="I804" s="485"/>
      <c r="J804" s="486"/>
      <c r="K804" s="238"/>
      <c r="L804" s="238"/>
    </row>
    <row r="805">
      <c r="A805" s="482"/>
      <c r="C805" s="483"/>
      <c r="D805" s="483"/>
      <c r="E805" s="484"/>
      <c r="F805" s="483"/>
      <c r="G805" s="483"/>
      <c r="H805" s="483"/>
      <c r="I805" s="485"/>
      <c r="J805" s="486"/>
      <c r="K805" s="238"/>
      <c r="L805" s="238"/>
    </row>
    <row r="806">
      <c r="A806" s="482"/>
      <c r="C806" s="483"/>
      <c r="D806" s="483"/>
      <c r="E806" s="484"/>
      <c r="F806" s="483"/>
      <c r="G806" s="483"/>
      <c r="H806" s="483"/>
      <c r="I806" s="485"/>
      <c r="J806" s="486"/>
      <c r="K806" s="238"/>
      <c r="L806" s="238"/>
    </row>
    <row r="807">
      <c r="A807" s="482"/>
      <c r="C807" s="483"/>
      <c r="D807" s="483"/>
      <c r="E807" s="484"/>
      <c r="F807" s="483"/>
      <c r="G807" s="483"/>
      <c r="H807" s="483"/>
      <c r="I807" s="485"/>
      <c r="J807" s="486"/>
      <c r="K807" s="238"/>
      <c r="L807" s="238"/>
    </row>
    <row r="808">
      <c r="A808" s="482"/>
      <c r="C808" s="483"/>
      <c r="D808" s="483"/>
      <c r="E808" s="484"/>
      <c r="F808" s="483"/>
      <c r="G808" s="483"/>
      <c r="H808" s="483"/>
      <c r="I808" s="485"/>
      <c r="J808" s="486"/>
      <c r="K808" s="238"/>
      <c r="L808" s="238"/>
    </row>
    <row r="809">
      <c r="A809" s="482"/>
      <c r="C809" s="483"/>
      <c r="D809" s="483"/>
      <c r="E809" s="484"/>
      <c r="F809" s="483"/>
      <c r="G809" s="483"/>
      <c r="H809" s="483"/>
      <c r="I809" s="485"/>
      <c r="J809" s="486"/>
      <c r="K809" s="238"/>
      <c r="L809" s="238"/>
    </row>
    <row r="810">
      <c r="A810" s="482"/>
      <c r="C810" s="483"/>
      <c r="D810" s="483"/>
      <c r="E810" s="484"/>
      <c r="F810" s="483"/>
      <c r="G810" s="483"/>
      <c r="H810" s="483"/>
      <c r="I810" s="485"/>
      <c r="J810" s="486"/>
      <c r="K810" s="238"/>
      <c r="L810" s="238"/>
    </row>
    <row r="811">
      <c r="A811" s="482"/>
      <c r="C811" s="483"/>
      <c r="D811" s="483"/>
      <c r="E811" s="484"/>
      <c r="F811" s="483"/>
      <c r="G811" s="483"/>
      <c r="H811" s="483"/>
      <c r="I811" s="485"/>
      <c r="J811" s="486"/>
      <c r="K811" s="238"/>
      <c r="L811" s="238"/>
    </row>
    <row r="812">
      <c r="A812" s="482"/>
      <c r="C812" s="483"/>
      <c r="D812" s="483"/>
      <c r="E812" s="484"/>
      <c r="F812" s="483"/>
      <c r="G812" s="483"/>
      <c r="H812" s="483"/>
      <c r="I812" s="485"/>
      <c r="J812" s="486"/>
      <c r="K812" s="238"/>
      <c r="L812" s="238"/>
    </row>
    <row r="813">
      <c r="A813" s="482"/>
      <c r="C813" s="483"/>
      <c r="D813" s="483"/>
      <c r="E813" s="484"/>
      <c r="F813" s="483"/>
      <c r="G813" s="483"/>
      <c r="H813" s="483"/>
      <c r="I813" s="485"/>
      <c r="J813" s="486"/>
      <c r="K813" s="238"/>
      <c r="L813" s="238"/>
    </row>
    <row r="814">
      <c r="A814" s="482"/>
      <c r="C814" s="483"/>
      <c r="D814" s="483"/>
      <c r="E814" s="484"/>
      <c r="F814" s="483"/>
      <c r="G814" s="483"/>
      <c r="H814" s="483"/>
      <c r="I814" s="485"/>
      <c r="J814" s="486"/>
      <c r="K814" s="238"/>
      <c r="L814" s="238"/>
    </row>
    <row r="815">
      <c r="A815" s="482"/>
      <c r="C815" s="483"/>
      <c r="D815" s="483"/>
      <c r="E815" s="484"/>
      <c r="F815" s="483"/>
      <c r="G815" s="483"/>
      <c r="H815" s="483"/>
      <c r="I815" s="485"/>
      <c r="J815" s="486"/>
      <c r="K815" s="238"/>
      <c r="L815" s="238"/>
    </row>
    <row r="816">
      <c r="A816" s="482"/>
      <c r="C816" s="483"/>
      <c r="D816" s="483"/>
      <c r="E816" s="484"/>
      <c r="F816" s="483"/>
      <c r="G816" s="483"/>
      <c r="H816" s="483"/>
      <c r="I816" s="485"/>
      <c r="J816" s="486"/>
      <c r="K816" s="238"/>
      <c r="L816" s="238"/>
    </row>
    <row r="817">
      <c r="A817" s="482"/>
      <c r="C817" s="483"/>
      <c r="D817" s="483"/>
      <c r="E817" s="484"/>
      <c r="F817" s="483"/>
      <c r="G817" s="483"/>
      <c r="H817" s="483"/>
      <c r="I817" s="485"/>
      <c r="J817" s="486"/>
      <c r="K817" s="238"/>
      <c r="L817" s="238"/>
    </row>
    <row r="818">
      <c r="A818" s="482"/>
      <c r="C818" s="483"/>
      <c r="D818" s="483"/>
      <c r="E818" s="484"/>
      <c r="F818" s="483"/>
      <c r="G818" s="483"/>
      <c r="H818" s="483"/>
      <c r="I818" s="485"/>
      <c r="J818" s="486"/>
      <c r="K818" s="238"/>
      <c r="L818" s="238"/>
    </row>
    <row r="819">
      <c r="A819" s="482"/>
      <c r="C819" s="483"/>
      <c r="D819" s="483"/>
      <c r="E819" s="484"/>
      <c r="F819" s="483"/>
      <c r="G819" s="483"/>
      <c r="H819" s="483"/>
      <c r="I819" s="485"/>
      <c r="J819" s="486"/>
      <c r="K819" s="238"/>
      <c r="L819" s="238"/>
    </row>
    <row r="820">
      <c r="A820" s="482"/>
      <c r="C820" s="483"/>
      <c r="D820" s="483"/>
      <c r="E820" s="484"/>
      <c r="F820" s="483"/>
      <c r="G820" s="483"/>
      <c r="H820" s="483"/>
      <c r="I820" s="485"/>
      <c r="J820" s="486"/>
      <c r="K820" s="238"/>
      <c r="L820" s="238"/>
    </row>
    <row r="821">
      <c r="A821" s="482"/>
      <c r="C821" s="483"/>
      <c r="D821" s="483"/>
      <c r="E821" s="484"/>
      <c r="F821" s="483"/>
      <c r="G821" s="483"/>
      <c r="H821" s="483"/>
      <c r="I821" s="485"/>
      <c r="J821" s="486"/>
      <c r="K821" s="238"/>
      <c r="L821" s="238"/>
    </row>
    <row r="822">
      <c r="A822" s="482"/>
      <c r="C822" s="483"/>
      <c r="D822" s="483"/>
      <c r="E822" s="484"/>
      <c r="F822" s="483"/>
      <c r="G822" s="483"/>
      <c r="H822" s="483"/>
      <c r="I822" s="485"/>
      <c r="J822" s="486"/>
      <c r="K822" s="238"/>
      <c r="L822" s="238"/>
    </row>
    <row r="823">
      <c r="A823" s="482"/>
      <c r="C823" s="483"/>
      <c r="D823" s="483"/>
      <c r="E823" s="484"/>
      <c r="F823" s="483"/>
      <c r="G823" s="483"/>
      <c r="H823" s="483"/>
      <c r="I823" s="485"/>
      <c r="J823" s="486"/>
      <c r="K823" s="238"/>
      <c r="L823" s="238"/>
    </row>
    <row r="824">
      <c r="A824" s="482"/>
      <c r="C824" s="483"/>
      <c r="D824" s="483"/>
      <c r="E824" s="484"/>
      <c r="F824" s="483"/>
      <c r="G824" s="483"/>
      <c r="H824" s="483"/>
      <c r="I824" s="485"/>
      <c r="J824" s="486"/>
      <c r="K824" s="238"/>
      <c r="L824" s="238"/>
    </row>
    <row r="825">
      <c r="A825" s="482"/>
      <c r="C825" s="483"/>
      <c r="D825" s="483"/>
      <c r="E825" s="484"/>
      <c r="F825" s="483"/>
      <c r="G825" s="483"/>
      <c r="H825" s="483"/>
      <c r="I825" s="485"/>
      <c r="J825" s="486"/>
      <c r="K825" s="238"/>
      <c r="L825" s="238"/>
    </row>
    <row r="826">
      <c r="A826" s="482"/>
      <c r="C826" s="483"/>
      <c r="D826" s="483"/>
      <c r="E826" s="484"/>
      <c r="F826" s="483"/>
      <c r="G826" s="483"/>
      <c r="H826" s="483"/>
      <c r="I826" s="485"/>
      <c r="J826" s="486"/>
      <c r="K826" s="238"/>
      <c r="L826" s="238"/>
    </row>
    <row r="827">
      <c r="A827" s="482"/>
      <c r="C827" s="483"/>
      <c r="D827" s="483"/>
      <c r="E827" s="484"/>
      <c r="F827" s="483"/>
      <c r="G827" s="483"/>
      <c r="H827" s="483"/>
      <c r="I827" s="485"/>
      <c r="J827" s="486"/>
      <c r="K827" s="238"/>
      <c r="L827" s="238"/>
    </row>
    <row r="828">
      <c r="A828" s="482"/>
      <c r="C828" s="483"/>
      <c r="D828" s="483"/>
      <c r="E828" s="484"/>
      <c r="F828" s="483"/>
      <c r="G828" s="483"/>
      <c r="H828" s="483"/>
      <c r="I828" s="485"/>
      <c r="J828" s="486"/>
      <c r="K828" s="238"/>
      <c r="L828" s="238"/>
    </row>
    <row r="829">
      <c r="A829" s="482"/>
      <c r="C829" s="483"/>
      <c r="D829" s="483"/>
      <c r="E829" s="484"/>
      <c r="F829" s="483"/>
      <c r="G829" s="483"/>
      <c r="H829" s="483"/>
      <c r="I829" s="485"/>
      <c r="J829" s="486"/>
      <c r="K829" s="238"/>
      <c r="L829" s="238"/>
    </row>
    <row r="830">
      <c r="A830" s="482"/>
      <c r="C830" s="483"/>
      <c r="D830" s="483"/>
      <c r="E830" s="484"/>
      <c r="F830" s="483"/>
      <c r="G830" s="483"/>
      <c r="H830" s="483"/>
      <c r="I830" s="485"/>
      <c r="J830" s="486"/>
      <c r="K830" s="238"/>
      <c r="L830" s="238"/>
    </row>
    <row r="831">
      <c r="A831" s="482"/>
      <c r="C831" s="483"/>
      <c r="D831" s="483"/>
      <c r="E831" s="484"/>
      <c r="F831" s="483"/>
      <c r="G831" s="483"/>
      <c r="H831" s="483"/>
      <c r="I831" s="485"/>
      <c r="J831" s="486"/>
      <c r="K831" s="238"/>
      <c r="L831" s="238"/>
    </row>
    <row r="832">
      <c r="A832" s="482"/>
      <c r="C832" s="483"/>
      <c r="D832" s="483"/>
      <c r="E832" s="484"/>
      <c r="F832" s="483"/>
      <c r="G832" s="483"/>
      <c r="H832" s="483"/>
      <c r="I832" s="485"/>
      <c r="J832" s="486"/>
      <c r="K832" s="238"/>
      <c r="L832" s="238"/>
    </row>
    <row r="833">
      <c r="A833" s="482"/>
      <c r="C833" s="483"/>
      <c r="D833" s="483"/>
      <c r="E833" s="484"/>
      <c r="F833" s="483"/>
      <c r="G833" s="483"/>
      <c r="H833" s="483"/>
      <c r="I833" s="485"/>
      <c r="J833" s="486"/>
      <c r="K833" s="238"/>
      <c r="L833" s="238"/>
    </row>
    <row r="834">
      <c r="A834" s="482"/>
      <c r="C834" s="483"/>
      <c r="D834" s="483"/>
      <c r="E834" s="484"/>
      <c r="F834" s="483"/>
      <c r="G834" s="483"/>
      <c r="H834" s="483"/>
      <c r="I834" s="485"/>
      <c r="J834" s="486"/>
      <c r="K834" s="238"/>
      <c r="L834" s="238"/>
    </row>
    <row r="835">
      <c r="A835" s="482"/>
      <c r="C835" s="483"/>
      <c r="D835" s="483"/>
      <c r="E835" s="484"/>
      <c r="F835" s="483"/>
      <c r="G835" s="483"/>
      <c r="H835" s="483"/>
      <c r="I835" s="485"/>
      <c r="J835" s="486"/>
      <c r="K835" s="238"/>
      <c r="L835" s="238"/>
    </row>
    <row r="836">
      <c r="A836" s="482"/>
      <c r="C836" s="483"/>
      <c r="D836" s="483"/>
      <c r="E836" s="484"/>
      <c r="F836" s="483"/>
      <c r="G836" s="483"/>
      <c r="H836" s="483"/>
      <c r="I836" s="485"/>
      <c r="J836" s="486"/>
      <c r="K836" s="238"/>
      <c r="L836" s="238"/>
    </row>
    <row r="837">
      <c r="A837" s="482"/>
      <c r="C837" s="483"/>
      <c r="D837" s="483"/>
      <c r="E837" s="484"/>
      <c r="F837" s="483"/>
      <c r="G837" s="483"/>
      <c r="H837" s="483"/>
      <c r="I837" s="485"/>
      <c r="J837" s="486"/>
      <c r="K837" s="238"/>
      <c r="L837" s="238"/>
    </row>
    <row r="838">
      <c r="A838" s="482"/>
      <c r="C838" s="483"/>
      <c r="D838" s="483"/>
      <c r="E838" s="484"/>
      <c r="F838" s="483"/>
      <c r="G838" s="483"/>
      <c r="H838" s="483"/>
      <c r="I838" s="485"/>
      <c r="J838" s="486"/>
      <c r="K838" s="238"/>
      <c r="L838" s="238"/>
    </row>
    <row r="839">
      <c r="A839" s="482"/>
      <c r="C839" s="483"/>
      <c r="D839" s="483"/>
      <c r="E839" s="484"/>
      <c r="F839" s="483"/>
      <c r="G839" s="483"/>
      <c r="H839" s="483"/>
      <c r="I839" s="485"/>
      <c r="J839" s="486"/>
      <c r="K839" s="238"/>
      <c r="L839" s="238"/>
    </row>
    <row r="840">
      <c r="A840" s="482"/>
      <c r="C840" s="483"/>
      <c r="D840" s="483"/>
      <c r="E840" s="484"/>
      <c r="F840" s="483"/>
      <c r="G840" s="483"/>
      <c r="H840" s="483"/>
      <c r="I840" s="485"/>
      <c r="J840" s="486"/>
      <c r="K840" s="238"/>
      <c r="L840" s="238"/>
    </row>
    <row r="841">
      <c r="A841" s="482"/>
      <c r="C841" s="483"/>
      <c r="D841" s="483"/>
      <c r="E841" s="484"/>
      <c r="F841" s="483"/>
      <c r="G841" s="483"/>
      <c r="H841" s="483"/>
      <c r="I841" s="485"/>
      <c r="J841" s="486"/>
      <c r="K841" s="238"/>
      <c r="L841" s="238"/>
    </row>
    <row r="842">
      <c r="A842" s="482"/>
      <c r="C842" s="483"/>
      <c r="D842" s="483"/>
      <c r="E842" s="484"/>
      <c r="F842" s="483"/>
      <c r="G842" s="483"/>
      <c r="H842" s="483"/>
      <c r="I842" s="485"/>
      <c r="J842" s="486"/>
      <c r="K842" s="238"/>
      <c r="L842" s="238"/>
    </row>
    <row r="843">
      <c r="A843" s="482"/>
      <c r="C843" s="483"/>
      <c r="D843" s="483"/>
      <c r="E843" s="484"/>
      <c r="F843" s="483"/>
      <c r="G843" s="483"/>
      <c r="H843" s="483"/>
      <c r="I843" s="485"/>
      <c r="J843" s="486"/>
      <c r="K843" s="238"/>
      <c r="L843" s="238"/>
    </row>
    <row r="844">
      <c r="A844" s="482"/>
      <c r="C844" s="483"/>
      <c r="D844" s="483"/>
      <c r="E844" s="484"/>
      <c r="F844" s="483"/>
      <c r="G844" s="483"/>
      <c r="H844" s="483"/>
      <c r="I844" s="485"/>
      <c r="J844" s="486"/>
      <c r="K844" s="238"/>
      <c r="L844" s="238"/>
    </row>
    <row r="845">
      <c r="A845" s="482"/>
      <c r="C845" s="483"/>
      <c r="D845" s="483"/>
      <c r="E845" s="484"/>
      <c r="F845" s="483"/>
      <c r="G845" s="483"/>
      <c r="H845" s="483"/>
      <c r="I845" s="485"/>
      <c r="J845" s="486"/>
      <c r="K845" s="238"/>
      <c r="L845" s="238"/>
    </row>
    <row r="846">
      <c r="A846" s="482"/>
      <c r="C846" s="483"/>
      <c r="D846" s="483"/>
      <c r="E846" s="484"/>
      <c r="F846" s="483"/>
      <c r="G846" s="483"/>
      <c r="H846" s="483"/>
      <c r="I846" s="485"/>
      <c r="J846" s="486"/>
      <c r="K846" s="238"/>
      <c r="L846" s="238"/>
    </row>
    <row r="847">
      <c r="A847" s="482"/>
      <c r="C847" s="483"/>
      <c r="D847" s="483"/>
      <c r="E847" s="484"/>
      <c r="F847" s="483"/>
      <c r="G847" s="483"/>
      <c r="H847" s="483"/>
      <c r="I847" s="485"/>
      <c r="J847" s="486"/>
      <c r="K847" s="238"/>
      <c r="L847" s="238"/>
    </row>
    <row r="848">
      <c r="A848" s="482"/>
      <c r="C848" s="483"/>
      <c r="D848" s="483"/>
      <c r="E848" s="484"/>
      <c r="F848" s="483"/>
      <c r="G848" s="483"/>
      <c r="H848" s="483"/>
      <c r="I848" s="485"/>
      <c r="J848" s="486"/>
      <c r="K848" s="238"/>
      <c r="L848" s="238"/>
    </row>
    <row r="849">
      <c r="A849" s="482"/>
      <c r="C849" s="483"/>
      <c r="D849" s="483"/>
      <c r="E849" s="484"/>
      <c r="F849" s="483"/>
      <c r="G849" s="483"/>
      <c r="H849" s="483"/>
      <c r="I849" s="485"/>
      <c r="J849" s="486"/>
      <c r="K849" s="238"/>
      <c r="L849" s="238"/>
    </row>
    <row r="850">
      <c r="A850" s="482"/>
      <c r="C850" s="483"/>
      <c r="D850" s="483"/>
      <c r="E850" s="484"/>
      <c r="F850" s="483"/>
      <c r="G850" s="483"/>
      <c r="H850" s="483"/>
      <c r="I850" s="485"/>
      <c r="J850" s="486"/>
      <c r="K850" s="238"/>
      <c r="L850" s="238"/>
    </row>
    <row r="851">
      <c r="A851" s="482"/>
      <c r="C851" s="483"/>
      <c r="D851" s="483"/>
      <c r="E851" s="484"/>
      <c r="F851" s="483"/>
      <c r="G851" s="483"/>
      <c r="H851" s="483"/>
      <c r="I851" s="485"/>
      <c r="J851" s="486"/>
      <c r="K851" s="238"/>
      <c r="L851" s="238"/>
    </row>
    <row r="852">
      <c r="A852" s="482"/>
      <c r="C852" s="483"/>
      <c r="D852" s="483"/>
      <c r="E852" s="484"/>
      <c r="F852" s="483"/>
      <c r="G852" s="483"/>
      <c r="H852" s="483"/>
      <c r="I852" s="485"/>
      <c r="J852" s="486"/>
      <c r="K852" s="238"/>
      <c r="L852" s="238"/>
    </row>
    <row r="853">
      <c r="A853" s="482"/>
      <c r="C853" s="483"/>
      <c r="D853" s="483"/>
      <c r="E853" s="484"/>
      <c r="F853" s="483"/>
      <c r="G853" s="483"/>
      <c r="H853" s="483"/>
      <c r="I853" s="485"/>
      <c r="J853" s="486"/>
      <c r="K853" s="238"/>
      <c r="L853" s="238"/>
    </row>
    <row r="854">
      <c r="A854" s="482"/>
      <c r="C854" s="483"/>
      <c r="D854" s="483"/>
      <c r="E854" s="484"/>
      <c r="F854" s="483"/>
      <c r="G854" s="483"/>
      <c r="H854" s="483"/>
      <c r="I854" s="485"/>
      <c r="J854" s="486"/>
      <c r="K854" s="238"/>
      <c r="L854" s="238"/>
    </row>
    <row r="855">
      <c r="A855" s="482"/>
      <c r="C855" s="483"/>
      <c r="D855" s="483"/>
      <c r="E855" s="484"/>
      <c r="F855" s="483"/>
      <c r="G855" s="483"/>
      <c r="H855" s="483"/>
      <c r="I855" s="485"/>
      <c r="J855" s="486"/>
      <c r="K855" s="238"/>
      <c r="L855" s="238"/>
    </row>
    <row r="856">
      <c r="A856" s="482"/>
      <c r="C856" s="483"/>
      <c r="D856" s="483"/>
      <c r="E856" s="484"/>
      <c r="F856" s="483"/>
      <c r="G856" s="483"/>
      <c r="H856" s="483"/>
      <c r="I856" s="485"/>
      <c r="J856" s="486"/>
      <c r="K856" s="238"/>
      <c r="L856" s="238"/>
    </row>
    <row r="857">
      <c r="A857" s="482"/>
      <c r="C857" s="483"/>
      <c r="D857" s="483"/>
      <c r="E857" s="484"/>
      <c r="F857" s="483"/>
      <c r="G857" s="483"/>
      <c r="H857" s="483"/>
      <c r="I857" s="485"/>
      <c r="J857" s="486"/>
      <c r="K857" s="238"/>
      <c r="L857" s="238"/>
    </row>
    <row r="858">
      <c r="A858" s="482"/>
      <c r="C858" s="483"/>
      <c r="D858" s="483"/>
      <c r="E858" s="484"/>
      <c r="F858" s="483"/>
      <c r="G858" s="483"/>
      <c r="H858" s="483"/>
      <c r="I858" s="485"/>
      <c r="J858" s="486"/>
      <c r="K858" s="238"/>
      <c r="L858" s="238"/>
    </row>
    <row r="859">
      <c r="A859" s="482"/>
      <c r="C859" s="483"/>
      <c r="D859" s="483"/>
      <c r="E859" s="484"/>
      <c r="F859" s="483"/>
      <c r="G859" s="483"/>
      <c r="H859" s="483"/>
      <c r="I859" s="485"/>
      <c r="J859" s="486"/>
      <c r="K859" s="238"/>
      <c r="L859" s="238"/>
    </row>
    <row r="860">
      <c r="A860" s="482"/>
      <c r="C860" s="483"/>
      <c r="D860" s="483"/>
      <c r="E860" s="484"/>
      <c r="F860" s="483"/>
      <c r="G860" s="483"/>
      <c r="H860" s="483"/>
      <c r="I860" s="485"/>
      <c r="J860" s="486"/>
      <c r="K860" s="238"/>
      <c r="L860" s="238"/>
    </row>
    <row r="861">
      <c r="A861" s="482"/>
      <c r="C861" s="483"/>
      <c r="D861" s="483"/>
      <c r="E861" s="484"/>
      <c r="F861" s="483"/>
      <c r="G861" s="483"/>
      <c r="H861" s="483"/>
      <c r="I861" s="485"/>
      <c r="J861" s="486"/>
      <c r="K861" s="238"/>
      <c r="L861" s="238"/>
    </row>
    <row r="862">
      <c r="A862" s="482"/>
      <c r="C862" s="483"/>
      <c r="D862" s="483"/>
      <c r="E862" s="484"/>
      <c r="F862" s="483"/>
      <c r="G862" s="483"/>
      <c r="H862" s="483"/>
      <c r="I862" s="485"/>
      <c r="J862" s="486"/>
      <c r="K862" s="238"/>
      <c r="L862" s="238"/>
    </row>
    <row r="863">
      <c r="A863" s="482"/>
      <c r="C863" s="483"/>
      <c r="D863" s="483"/>
      <c r="E863" s="484"/>
      <c r="F863" s="483"/>
      <c r="G863" s="483"/>
      <c r="H863" s="483"/>
      <c r="I863" s="485"/>
      <c r="J863" s="486"/>
      <c r="K863" s="238"/>
      <c r="L863" s="238"/>
    </row>
    <row r="864">
      <c r="A864" s="482"/>
      <c r="C864" s="483"/>
      <c r="D864" s="483"/>
      <c r="E864" s="484"/>
      <c r="F864" s="483"/>
      <c r="G864" s="483"/>
      <c r="H864" s="483"/>
      <c r="I864" s="485"/>
      <c r="J864" s="486"/>
      <c r="K864" s="238"/>
      <c r="L864" s="238"/>
    </row>
    <row r="865">
      <c r="A865" s="482"/>
      <c r="C865" s="483"/>
      <c r="D865" s="483"/>
      <c r="E865" s="484"/>
      <c r="F865" s="483"/>
      <c r="G865" s="483"/>
      <c r="H865" s="483"/>
      <c r="I865" s="485"/>
      <c r="J865" s="486"/>
      <c r="K865" s="238"/>
      <c r="L865" s="238"/>
    </row>
    <row r="866">
      <c r="A866" s="482"/>
      <c r="C866" s="483"/>
      <c r="D866" s="483"/>
      <c r="E866" s="484"/>
      <c r="F866" s="483"/>
      <c r="G866" s="483"/>
      <c r="H866" s="483"/>
      <c r="I866" s="485"/>
      <c r="J866" s="486"/>
      <c r="K866" s="238"/>
      <c r="L866" s="238"/>
    </row>
    <row r="867">
      <c r="A867" s="482"/>
      <c r="C867" s="483"/>
      <c r="D867" s="483"/>
      <c r="E867" s="484"/>
      <c r="F867" s="483"/>
      <c r="G867" s="483"/>
      <c r="H867" s="483"/>
      <c r="I867" s="485"/>
      <c r="J867" s="486"/>
      <c r="K867" s="238"/>
      <c r="L867" s="238"/>
    </row>
    <row r="868">
      <c r="A868" s="482"/>
      <c r="C868" s="483"/>
      <c r="D868" s="483"/>
      <c r="E868" s="484"/>
      <c r="F868" s="483"/>
      <c r="G868" s="483"/>
      <c r="H868" s="483"/>
      <c r="I868" s="485"/>
      <c r="J868" s="486"/>
      <c r="K868" s="238"/>
      <c r="L868" s="238"/>
    </row>
    <row r="869">
      <c r="A869" s="482"/>
      <c r="C869" s="483"/>
      <c r="D869" s="483"/>
      <c r="E869" s="484"/>
      <c r="F869" s="483"/>
      <c r="G869" s="483"/>
      <c r="H869" s="483"/>
      <c r="I869" s="485"/>
      <c r="J869" s="486"/>
      <c r="K869" s="238"/>
      <c r="L869" s="238"/>
    </row>
    <row r="870">
      <c r="A870" s="482"/>
      <c r="C870" s="483"/>
      <c r="D870" s="483"/>
      <c r="E870" s="484"/>
      <c r="F870" s="483"/>
      <c r="G870" s="483"/>
      <c r="H870" s="483"/>
      <c r="I870" s="485"/>
      <c r="J870" s="486"/>
      <c r="K870" s="238"/>
      <c r="L870" s="238"/>
    </row>
    <row r="871">
      <c r="A871" s="482"/>
      <c r="C871" s="483"/>
      <c r="D871" s="483"/>
      <c r="E871" s="484"/>
      <c r="F871" s="483"/>
      <c r="G871" s="483"/>
      <c r="H871" s="483"/>
      <c r="I871" s="485"/>
      <c r="J871" s="486"/>
      <c r="K871" s="238"/>
      <c r="L871" s="238"/>
    </row>
    <row r="872">
      <c r="A872" s="482"/>
      <c r="C872" s="483"/>
      <c r="D872" s="483"/>
      <c r="E872" s="484"/>
      <c r="F872" s="483"/>
      <c r="G872" s="483"/>
      <c r="H872" s="483"/>
      <c r="I872" s="485"/>
      <c r="J872" s="486"/>
      <c r="K872" s="238"/>
      <c r="L872" s="238"/>
    </row>
    <row r="873">
      <c r="A873" s="482"/>
      <c r="C873" s="483"/>
      <c r="D873" s="483"/>
      <c r="E873" s="484"/>
      <c r="F873" s="483"/>
      <c r="G873" s="483"/>
      <c r="H873" s="483"/>
      <c r="I873" s="485"/>
      <c r="J873" s="486"/>
      <c r="K873" s="238"/>
      <c r="L873" s="238"/>
    </row>
    <row r="874">
      <c r="A874" s="482"/>
      <c r="C874" s="483"/>
      <c r="D874" s="483"/>
      <c r="E874" s="484"/>
      <c r="F874" s="483"/>
      <c r="G874" s="483"/>
      <c r="H874" s="483"/>
      <c r="I874" s="485"/>
      <c r="J874" s="486"/>
      <c r="K874" s="238"/>
      <c r="L874" s="238"/>
    </row>
    <row r="875">
      <c r="A875" s="482"/>
      <c r="C875" s="483"/>
      <c r="D875" s="483"/>
      <c r="E875" s="484"/>
      <c r="F875" s="483"/>
      <c r="G875" s="483"/>
      <c r="H875" s="483"/>
      <c r="I875" s="485"/>
      <c r="J875" s="486"/>
      <c r="K875" s="238"/>
      <c r="L875" s="238"/>
    </row>
    <row r="876">
      <c r="A876" s="482"/>
      <c r="C876" s="483"/>
      <c r="D876" s="483"/>
      <c r="E876" s="484"/>
      <c r="F876" s="483"/>
      <c r="G876" s="483"/>
      <c r="H876" s="483"/>
      <c r="I876" s="485"/>
      <c r="J876" s="486"/>
      <c r="K876" s="238"/>
      <c r="L876" s="238"/>
    </row>
    <row r="877">
      <c r="A877" s="482"/>
      <c r="C877" s="483"/>
      <c r="D877" s="483"/>
      <c r="E877" s="484"/>
      <c r="F877" s="483"/>
      <c r="G877" s="483"/>
      <c r="H877" s="483"/>
      <c r="I877" s="485"/>
      <c r="J877" s="486"/>
      <c r="K877" s="238"/>
      <c r="L877" s="238"/>
    </row>
    <row r="878">
      <c r="A878" s="482"/>
      <c r="C878" s="483"/>
      <c r="D878" s="483"/>
      <c r="E878" s="484"/>
      <c r="F878" s="483"/>
      <c r="G878" s="483"/>
      <c r="H878" s="483"/>
      <c r="I878" s="485"/>
      <c r="J878" s="486"/>
      <c r="K878" s="238"/>
      <c r="L878" s="238"/>
    </row>
    <row r="879">
      <c r="A879" s="482"/>
      <c r="C879" s="483"/>
      <c r="D879" s="483"/>
      <c r="E879" s="484"/>
      <c r="F879" s="483"/>
      <c r="G879" s="483"/>
      <c r="H879" s="483"/>
      <c r="I879" s="485"/>
      <c r="J879" s="486"/>
      <c r="K879" s="238"/>
      <c r="L879" s="238"/>
    </row>
    <row r="880">
      <c r="A880" s="482"/>
      <c r="C880" s="483"/>
      <c r="D880" s="483"/>
      <c r="E880" s="484"/>
      <c r="F880" s="483"/>
      <c r="G880" s="483"/>
      <c r="H880" s="483"/>
      <c r="I880" s="485"/>
      <c r="J880" s="486"/>
      <c r="K880" s="238"/>
      <c r="L880" s="238"/>
    </row>
    <row r="881">
      <c r="A881" s="482"/>
      <c r="C881" s="483"/>
      <c r="D881" s="483"/>
      <c r="E881" s="484"/>
      <c r="F881" s="483"/>
      <c r="G881" s="483"/>
      <c r="H881" s="483"/>
      <c r="I881" s="485"/>
      <c r="J881" s="486"/>
      <c r="K881" s="238"/>
      <c r="L881" s="238"/>
    </row>
    <row r="882">
      <c r="A882" s="482"/>
      <c r="C882" s="483"/>
      <c r="D882" s="483"/>
      <c r="E882" s="484"/>
      <c r="F882" s="483"/>
      <c r="G882" s="483"/>
      <c r="H882" s="483"/>
      <c r="I882" s="485"/>
      <c r="J882" s="486"/>
      <c r="K882" s="238"/>
      <c r="L882" s="238"/>
    </row>
    <row r="883">
      <c r="A883" s="482"/>
      <c r="C883" s="483"/>
      <c r="D883" s="483"/>
      <c r="E883" s="484"/>
      <c r="F883" s="483"/>
      <c r="G883" s="483"/>
      <c r="H883" s="483"/>
      <c r="I883" s="485"/>
      <c r="J883" s="486"/>
      <c r="K883" s="238"/>
      <c r="L883" s="238"/>
    </row>
    <row r="884">
      <c r="A884" s="482"/>
      <c r="C884" s="483"/>
      <c r="D884" s="483"/>
      <c r="E884" s="484"/>
      <c r="F884" s="483"/>
      <c r="G884" s="483"/>
      <c r="H884" s="483"/>
      <c r="I884" s="485"/>
      <c r="J884" s="486"/>
      <c r="K884" s="238"/>
      <c r="L884" s="238"/>
    </row>
    <row r="885">
      <c r="A885" s="482"/>
      <c r="C885" s="483"/>
      <c r="D885" s="483"/>
      <c r="E885" s="484"/>
      <c r="F885" s="483"/>
      <c r="G885" s="483"/>
      <c r="H885" s="483"/>
      <c r="I885" s="485"/>
      <c r="J885" s="486"/>
      <c r="K885" s="238"/>
      <c r="L885" s="238"/>
    </row>
    <row r="886">
      <c r="A886" s="482"/>
      <c r="C886" s="483"/>
      <c r="D886" s="483"/>
      <c r="E886" s="484"/>
      <c r="F886" s="483"/>
      <c r="G886" s="483"/>
      <c r="H886" s="483"/>
      <c r="I886" s="485"/>
      <c r="J886" s="486"/>
      <c r="K886" s="238"/>
      <c r="L886" s="238"/>
    </row>
    <row r="887">
      <c r="A887" s="482"/>
      <c r="C887" s="483"/>
      <c r="D887" s="483"/>
      <c r="E887" s="484"/>
      <c r="F887" s="483"/>
      <c r="G887" s="483"/>
      <c r="H887" s="483"/>
      <c r="I887" s="485"/>
      <c r="J887" s="486"/>
      <c r="K887" s="238"/>
      <c r="L887" s="238"/>
    </row>
    <row r="888">
      <c r="A888" s="482"/>
      <c r="C888" s="483"/>
      <c r="D888" s="483"/>
      <c r="E888" s="484"/>
      <c r="F888" s="483"/>
      <c r="G888" s="483"/>
      <c r="H888" s="483"/>
      <c r="I888" s="485"/>
      <c r="J888" s="486"/>
      <c r="K888" s="238"/>
      <c r="L888" s="238"/>
    </row>
    <row r="889">
      <c r="A889" s="482"/>
      <c r="C889" s="483"/>
      <c r="D889" s="483"/>
      <c r="E889" s="484"/>
      <c r="F889" s="483"/>
      <c r="G889" s="483"/>
      <c r="H889" s="483"/>
      <c r="I889" s="485"/>
      <c r="J889" s="486"/>
      <c r="K889" s="238"/>
      <c r="L889" s="238"/>
    </row>
    <row r="890">
      <c r="A890" s="482"/>
      <c r="C890" s="483"/>
      <c r="D890" s="483"/>
      <c r="E890" s="484"/>
      <c r="F890" s="483"/>
      <c r="G890" s="483"/>
      <c r="H890" s="483"/>
      <c r="I890" s="485"/>
      <c r="J890" s="486"/>
      <c r="K890" s="238"/>
      <c r="L890" s="238"/>
    </row>
    <row r="891">
      <c r="A891" s="482"/>
      <c r="C891" s="483"/>
      <c r="D891" s="483"/>
      <c r="E891" s="484"/>
      <c r="F891" s="483"/>
      <c r="G891" s="483"/>
      <c r="H891" s="483"/>
      <c r="I891" s="485"/>
      <c r="J891" s="486"/>
      <c r="K891" s="238"/>
      <c r="L891" s="238"/>
    </row>
    <row r="892">
      <c r="A892" s="482"/>
      <c r="C892" s="483"/>
      <c r="D892" s="483"/>
      <c r="E892" s="484"/>
      <c r="F892" s="483"/>
      <c r="G892" s="483"/>
      <c r="H892" s="483"/>
      <c r="I892" s="485"/>
      <c r="J892" s="486"/>
      <c r="K892" s="238"/>
      <c r="L892" s="238"/>
    </row>
    <row r="893">
      <c r="A893" s="482"/>
      <c r="C893" s="483"/>
      <c r="D893" s="483"/>
      <c r="E893" s="484"/>
      <c r="F893" s="483"/>
      <c r="G893" s="483"/>
      <c r="H893" s="483"/>
      <c r="I893" s="485"/>
      <c r="J893" s="486"/>
      <c r="K893" s="238"/>
      <c r="L893" s="238"/>
    </row>
    <row r="894">
      <c r="A894" s="482"/>
      <c r="C894" s="483"/>
      <c r="D894" s="483"/>
      <c r="E894" s="484"/>
      <c r="F894" s="483"/>
      <c r="G894" s="483"/>
      <c r="H894" s="483"/>
      <c r="I894" s="485"/>
      <c r="J894" s="486"/>
      <c r="K894" s="238"/>
      <c r="L894" s="238"/>
    </row>
    <row r="895">
      <c r="A895" s="482"/>
      <c r="C895" s="483"/>
      <c r="D895" s="483"/>
      <c r="E895" s="484"/>
      <c r="F895" s="483"/>
      <c r="G895" s="483"/>
      <c r="H895" s="483"/>
      <c r="I895" s="485"/>
      <c r="J895" s="486"/>
      <c r="K895" s="238"/>
      <c r="L895" s="238"/>
    </row>
    <row r="896">
      <c r="A896" s="482"/>
      <c r="C896" s="483"/>
      <c r="D896" s="483"/>
      <c r="E896" s="484"/>
      <c r="F896" s="483"/>
      <c r="G896" s="483"/>
      <c r="H896" s="483"/>
      <c r="I896" s="485"/>
      <c r="J896" s="486"/>
      <c r="K896" s="238"/>
      <c r="L896" s="238"/>
    </row>
    <row r="897">
      <c r="A897" s="482"/>
      <c r="C897" s="483"/>
      <c r="D897" s="483"/>
      <c r="E897" s="484"/>
      <c r="F897" s="483"/>
      <c r="G897" s="483"/>
      <c r="H897" s="483"/>
      <c r="I897" s="485"/>
      <c r="J897" s="486"/>
      <c r="K897" s="238"/>
      <c r="L897" s="238"/>
    </row>
    <row r="898">
      <c r="A898" s="482"/>
      <c r="C898" s="483"/>
      <c r="D898" s="483"/>
      <c r="E898" s="484"/>
      <c r="F898" s="483"/>
      <c r="G898" s="483"/>
      <c r="H898" s="483"/>
      <c r="I898" s="485"/>
      <c r="J898" s="486"/>
      <c r="K898" s="238"/>
      <c r="L898" s="238"/>
    </row>
    <row r="899">
      <c r="A899" s="482"/>
      <c r="C899" s="483"/>
      <c r="D899" s="483"/>
      <c r="E899" s="484"/>
      <c r="F899" s="483"/>
      <c r="G899" s="483"/>
      <c r="H899" s="483"/>
      <c r="I899" s="485"/>
      <c r="J899" s="486"/>
      <c r="K899" s="238"/>
      <c r="L899" s="238"/>
    </row>
    <row r="900">
      <c r="A900" s="482"/>
      <c r="C900" s="483"/>
      <c r="D900" s="483"/>
      <c r="E900" s="484"/>
      <c r="F900" s="483"/>
      <c r="G900" s="483"/>
      <c r="H900" s="483"/>
      <c r="I900" s="485"/>
      <c r="J900" s="486"/>
      <c r="K900" s="238"/>
      <c r="L900" s="238"/>
    </row>
    <row r="901">
      <c r="A901" s="482"/>
      <c r="C901" s="483"/>
      <c r="D901" s="483"/>
      <c r="E901" s="484"/>
      <c r="F901" s="483"/>
      <c r="G901" s="483"/>
      <c r="H901" s="483"/>
      <c r="I901" s="485"/>
      <c r="J901" s="486"/>
      <c r="K901" s="238"/>
      <c r="L901" s="238"/>
    </row>
    <row r="902">
      <c r="A902" s="482"/>
      <c r="C902" s="483"/>
      <c r="D902" s="483"/>
      <c r="E902" s="484"/>
      <c r="F902" s="483"/>
      <c r="G902" s="483"/>
      <c r="H902" s="483"/>
      <c r="I902" s="485"/>
      <c r="J902" s="486"/>
      <c r="K902" s="238"/>
      <c r="L902" s="238"/>
    </row>
    <row r="903">
      <c r="A903" s="482"/>
      <c r="C903" s="483"/>
      <c r="D903" s="483"/>
      <c r="E903" s="484"/>
      <c r="F903" s="483"/>
      <c r="G903" s="483"/>
      <c r="H903" s="483"/>
      <c r="I903" s="485"/>
      <c r="J903" s="486"/>
      <c r="K903" s="238"/>
      <c r="L903" s="238"/>
    </row>
    <row r="904">
      <c r="A904" s="482"/>
      <c r="C904" s="483"/>
      <c r="D904" s="483"/>
      <c r="E904" s="484"/>
      <c r="F904" s="483"/>
      <c r="G904" s="483"/>
      <c r="H904" s="483"/>
      <c r="I904" s="485"/>
      <c r="J904" s="486"/>
      <c r="K904" s="238"/>
      <c r="L904" s="238"/>
    </row>
    <row r="905">
      <c r="A905" s="482"/>
      <c r="C905" s="483"/>
      <c r="D905" s="483"/>
      <c r="E905" s="484"/>
      <c r="F905" s="483"/>
      <c r="G905" s="483"/>
      <c r="H905" s="483"/>
      <c r="I905" s="485"/>
      <c r="J905" s="486"/>
      <c r="K905" s="238"/>
      <c r="L905" s="238"/>
    </row>
    <row r="906">
      <c r="A906" s="482"/>
      <c r="C906" s="483"/>
      <c r="D906" s="483"/>
      <c r="E906" s="484"/>
      <c r="F906" s="483"/>
      <c r="G906" s="483"/>
      <c r="H906" s="483"/>
      <c r="I906" s="485"/>
      <c r="J906" s="486"/>
      <c r="K906" s="238"/>
      <c r="L906" s="238"/>
    </row>
    <row r="907">
      <c r="A907" s="482"/>
      <c r="C907" s="483"/>
      <c r="D907" s="483"/>
      <c r="E907" s="484"/>
      <c r="F907" s="483"/>
      <c r="G907" s="483"/>
      <c r="H907" s="483"/>
      <c r="I907" s="485"/>
      <c r="J907" s="486"/>
      <c r="K907" s="238"/>
      <c r="L907" s="238"/>
    </row>
    <row r="908">
      <c r="A908" s="482"/>
      <c r="C908" s="483"/>
      <c r="D908" s="483"/>
      <c r="E908" s="484"/>
      <c r="F908" s="483"/>
      <c r="G908" s="483"/>
      <c r="H908" s="483"/>
      <c r="I908" s="485"/>
      <c r="J908" s="486"/>
      <c r="K908" s="238"/>
      <c r="L908" s="238"/>
    </row>
    <row r="909">
      <c r="A909" s="482"/>
      <c r="C909" s="483"/>
      <c r="D909" s="483"/>
      <c r="E909" s="484"/>
      <c r="F909" s="483"/>
      <c r="G909" s="483"/>
      <c r="H909" s="483"/>
      <c r="I909" s="485"/>
      <c r="J909" s="486"/>
      <c r="K909" s="238"/>
      <c r="L909" s="238"/>
    </row>
    <row r="910">
      <c r="A910" s="482"/>
      <c r="C910" s="483"/>
      <c r="D910" s="483"/>
      <c r="E910" s="484"/>
      <c r="F910" s="483"/>
      <c r="G910" s="483"/>
      <c r="H910" s="483"/>
      <c r="I910" s="485"/>
      <c r="J910" s="486"/>
      <c r="K910" s="238"/>
      <c r="L910" s="238"/>
    </row>
    <row r="911">
      <c r="A911" s="482"/>
      <c r="C911" s="483"/>
      <c r="D911" s="483"/>
      <c r="E911" s="484"/>
      <c r="F911" s="483"/>
      <c r="G911" s="483"/>
      <c r="H911" s="483"/>
      <c r="I911" s="485"/>
      <c r="J911" s="486"/>
      <c r="K911" s="238"/>
      <c r="L911" s="238"/>
    </row>
    <row r="912">
      <c r="A912" s="482"/>
      <c r="C912" s="483"/>
      <c r="D912" s="483"/>
      <c r="E912" s="484"/>
      <c r="F912" s="483"/>
      <c r="G912" s="483"/>
      <c r="H912" s="483"/>
      <c r="I912" s="485"/>
      <c r="J912" s="486"/>
      <c r="K912" s="238"/>
      <c r="L912" s="238"/>
    </row>
    <row r="913">
      <c r="A913" s="482"/>
      <c r="C913" s="483"/>
      <c r="D913" s="483"/>
      <c r="E913" s="484"/>
      <c r="F913" s="483"/>
      <c r="G913" s="483"/>
      <c r="H913" s="483"/>
      <c r="I913" s="485"/>
      <c r="J913" s="486"/>
      <c r="K913" s="238"/>
      <c r="L913" s="238"/>
    </row>
    <row r="914">
      <c r="A914" s="482"/>
      <c r="C914" s="483"/>
      <c r="D914" s="483"/>
      <c r="E914" s="484"/>
      <c r="F914" s="483"/>
      <c r="G914" s="483"/>
      <c r="H914" s="483"/>
      <c r="I914" s="485"/>
      <c r="J914" s="486"/>
      <c r="K914" s="238"/>
      <c r="L914" s="238"/>
    </row>
    <row r="915">
      <c r="A915" s="482"/>
      <c r="C915" s="483"/>
      <c r="D915" s="483"/>
      <c r="E915" s="484"/>
      <c r="F915" s="483"/>
      <c r="G915" s="483"/>
      <c r="H915" s="483"/>
      <c r="I915" s="485"/>
      <c r="J915" s="486"/>
      <c r="K915" s="238"/>
      <c r="L915" s="238"/>
    </row>
    <row r="916">
      <c r="A916" s="482"/>
      <c r="C916" s="483"/>
      <c r="D916" s="483"/>
      <c r="E916" s="484"/>
      <c r="F916" s="483"/>
      <c r="G916" s="483"/>
      <c r="H916" s="483"/>
      <c r="I916" s="485"/>
      <c r="J916" s="486"/>
      <c r="K916" s="238"/>
      <c r="L916" s="238"/>
    </row>
    <row r="917">
      <c r="A917" s="482"/>
      <c r="C917" s="483"/>
      <c r="D917" s="483"/>
      <c r="E917" s="484"/>
      <c r="F917" s="483"/>
      <c r="G917" s="483"/>
      <c r="H917" s="483"/>
      <c r="I917" s="485"/>
      <c r="J917" s="486"/>
      <c r="K917" s="238"/>
      <c r="L917" s="238"/>
    </row>
    <row r="918">
      <c r="A918" s="482"/>
      <c r="C918" s="483"/>
      <c r="D918" s="483"/>
      <c r="E918" s="484"/>
      <c r="F918" s="483"/>
      <c r="G918" s="483"/>
      <c r="H918" s="483"/>
      <c r="I918" s="485"/>
      <c r="J918" s="486"/>
      <c r="K918" s="238"/>
      <c r="L918" s="238"/>
    </row>
    <row r="919">
      <c r="A919" s="482"/>
      <c r="C919" s="483"/>
      <c r="D919" s="483"/>
      <c r="E919" s="484"/>
      <c r="F919" s="483"/>
      <c r="G919" s="483"/>
      <c r="H919" s="483"/>
      <c r="I919" s="485"/>
      <c r="J919" s="486"/>
      <c r="K919" s="238"/>
      <c r="L919" s="238"/>
    </row>
    <row r="920">
      <c r="A920" s="482"/>
      <c r="C920" s="483"/>
      <c r="D920" s="483"/>
      <c r="E920" s="484"/>
      <c r="F920" s="483"/>
      <c r="G920" s="483"/>
      <c r="H920" s="483"/>
      <c r="I920" s="485"/>
      <c r="J920" s="486"/>
      <c r="K920" s="238"/>
      <c r="L920" s="238"/>
    </row>
    <row r="921">
      <c r="A921" s="482"/>
      <c r="C921" s="483"/>
      <c r="D921" s="483"/>
      <c r="E921" s="484"/>
      <c r="F921" s="483"/>
      <c r="G921" s="483"/>
      <c r="H921" s="483"/>
      <c r="I921" s="485"/>
      <c r="J921" s="486"/>
      <c r="K921" s="238"/>
      <c r="L921" s="238"/>
    </row>
    <row r="922">
      <c r="A922" s="482"/>
      <c r="C922" s="483"/>
      <c r="D922" s="483"/>
      <c r="E922" s="484"/>
      <c r="F922" s="483"/>
      <c r="G922" s="483"/>
      <c r="H922" s="483"/>
      <c r="I922" s="485"/>
      <c r="J922" s="486"/>
      <c r="K922" s="238"/>
      <c r="L922" s="238"/>
    </row>
    <row r="923">
      <c r="A923" s="482"/>
      <c r="C923" s="483"/>
      <c r="D923" s="483"/>
      <c r="E923" s="484"/>
      <c r="F923" s="483"/>
      <c r="G923" s="483"/>
      <c r="H923" s="483"/>
      <c r="I923" s="485"/>
      <c r="J923" s="486"/>
      <c r="K923" s="238"/>
      <c r="L923" s="238"/>
    </row>
    <row r="924">
      <c r="A924" s="482"/>
      <c r="C924" s="483"/>
      <c r="D924" s="483"/>
      <c r="E924" s="484"/>
      <c r="F924" s="483"/>
      <c r="G924" s="483"/>
      <c r="H924" s="483"/>
      <c r="I924" s="485"/>
      <c r="J924" s="486"/>
      <c r="K924" s="238"/>
      <c r="L924" s="238"/>
    </row>
    <row r="925">
      <c r="A925" s="482"/>
      <c r="C925" s="483"/>
      <c r="D925" s="483"/>
      <c r="E925" s="484"/>
      <c r="F925" s="483"/>
      <c r="G925" s="483"/>
      <c r="H925" s="483"/>
      <c r="I925" s="485"/>
      <c r="J925" s="486"/>
      <c r="K925" s="238"/>
      <c r="L925" s="238"/>
    </row>
    <row r="926">
      <c r="A926" s="482"/>
      <c r="C926" s="483"/>
      <c r="D926" s="483"/>
      <c r="E926" s="484"/>
      <c r="F926" s="483"/>
      <c r="G926" s="483"/>
      <c r="H926" s="483"/>
      <c r="I926" s="485"/>
      <c r="J926" s="486"/>
      <c r="K926" s="238"/>
      <c r="L926" s="238"/>
    </row>
    <row r="927">
      <c r="A927" s="482"/>
      <c r="C927" s="483"/>
      <c r="D927" s="483"/>
      <c r="E927" s="484"/>
      <c r="F927" s="483"/>
      <c r="G927" s="483"/>
      <c r="H927" s="483"/>
      <c r="I927" s="485"/>
      <c r="J927" s="486"/>
      <c r="K927" s="238"/>
      <c r="L927" s="238"/>
    </row>
    <row r="928">
      <c r="A928" s="482"/>
      <c r="C928" s="483"/>
      <c r="D928" s="483"/>
      <c r="E928" s="484"/>
      <c r="F928" s="483"/>
      <c r="G928" s="483"/>
      <c r="H928" s="483"/>
      <c r="I928" s="485"/>
      <c r="J928" s="486"/>
      <c r="K928" s="238"/>
      <c r="L928" s="238"/>
    </row>
    <row r="929">
      <c r="A929" s="482"/>
      <c r="C929" s="483"/>
      <c r="D929" s="483"/>
      <c r="E929" s="484"/>
      <c r="F929" s="483"/>
      <c r="G929" s="483"/>
      <c r="H929" s="483"/>
      <c r="I929" s="485"/>
      <c r="J929" s="486"/>
      <c r="K929" s="238"/>
      <c r="L929" s="238"/>
    </row>
    <row r="930">
      <c r="A930" s="482"/>
      <c r="C930" s="483"/>
      <c r="D930" s="483"/>
      <c r="E930" s="484"/>
      <c r="F930" s="483"/>
      <c r="G930" s="483"/>
      <c r="H930" s="483"/>
      <c r="I930" s="485"/>
      <c r="J930" s="486"/>
      <c r="K930" s="238"/>
      <c r="L930" s="238"/>
    </row>
    <row r="931">
      <c r="A931" s="482"/>
      <c r="C931" s="483"/>
      <c r="D931" s="483"/>
      <c r="E931" s="484"/>
      <c r="F931" s="483"/>
      <c r="G931" s="483"/>
      <c r="H931" s="483"/>
      <c r="I931" s="485"/>
      <c r="J931" s="486"/>
      <c r="K931" s="238"/>
      <c r="L931" s="238"/>
    </row>
    <row r="932">
      <c r="A932" s="482"/>
      <c r="C932" s="483"/>
      <c r="D932" s="483"/>
      <c r="E932" s="484"/>
      <c r="F932" s="483"/>
      <c r="G932" s="483"/>
      <c r="H932" s="483"/>
      <c r="I932" s="485"/>
      <c r="J932" s="486"/>
      <c r="K932" s="238"/>
      <c r="L932" s="238"/>
    </row>
    <row r="933">
      <c r="A933" s="482"/>
      <c r="C933" s="483"/>
      <c r="D933" s="483"/>
      <c r="E933" s="484"/>
      <c r="F933" s="483"/>
      <c r="G933" s="483"/>
      <c r="H933" s="483"/>
      <c r="I933" s="485"/>
      <c r="J933" s="486"/>
      <c r="K933" s="238"/>
      <c r="L933" s="238"/>
    </row>
    <row r="934">
      <c r="A934" s="482"/>
      <c r="C934" s="483"/>
      <c r="D934" s="483"/>
      <c r="E934" s="484"/>
      <c r="F934" s="483"/>
      <c r="G934" s="483"/>
      <c r="H934" s="483"/>
      <c r="I934" s="485"/>
      <c r="J934" s="486"/>
      <c r="K934" s="238"/>
      <c r="L934" s="238"/>
    </row>
    <row r="935">
      <c r="A935" s="482"/>
      <c r="C935" s="483"/>
      <c r="D935" s="483"/>
      <c r="E935" s="484"/>
      <c r="F935" s="483"/>
      <c r="G935" s="483"/>
      <c r="H935" s="483"/>
      <c r="I935" s="485"/>
      <c r="J935" s="486"/>
      <c r="K935" s="238"/>
      <c r="L935" s="238"/>
    </row>
    <row r="936">
      <c r="A936" s="482"/>
      <c r="C936" s="483"/>
      <c r="D936" s="483"/>
      <c r="E936" s="484"/>
      <c r="F936" s="483"/>
      <c r="G936" s="483"/>
      <c r="H936" s="483"/>
      <c r="I936" s="485"/>
      <c r="J936" s="486"/>
      <c r="K936" s="238"/>
      <c r="L936" s="238"/>
    </row>
    <row r="937">
      <c r="A937" s="482"/>
      <c r="C937" s="483"/>
      <c r="D937" s="483"/>
      <c r="E937" s="484"/>
      <c r="F937" s="483"/>
      <c r="G937" s="483"/>
      <c r="H937" s="483"/>
      <c r="I937" s="485"/>
      <c r="J937" s="486"/>
      <c r="K937" s="238"/>
      <c r="L937" s="238"/>
    </row>
    <row r="938">
      <c r="A938" s="482"/>
      <c r="C938" s="483"/>
      <c r="D938" s="483"/>
      <c r="E938" s="484"/>
      <c r="F938" s="483"/>
      <c r="G938" s="483"/>
      <c r="H938" s="483"/>
      <c r="I938" s="485"/>
      <c r="J938" s="486"/>
      <c r="K938" s="238"/>
      <c r="L938" s="238"/>
    </row>
    <row r="939">
      <c r="A939" s="482"/>
      <c r="C939" s="483"/>
      <c r="D939" s="483"/>
      <c r="E939" s="484"/>
      <c r="F939" s="483"/>
      <c r="G939" s="483"/>
      <c r="H939" s="483"/>
      <c r="I939" s="485"/>
      <c r="J939" s="486"/>
      <c r="K939" s="238"/>
      <c r="L939" s="238"/>
    </row>
    <row r="940">
      <c r="A940" s="482"/>
      <c r="C940" s="483"/>
      <c r="D940" s="483"/>
      <c r="E940" s="484"/>
      <c r="F940" s="483"/>
      <c r="G940" s="483"/>
      <c r="H940" s="483"/>
      <c r="I940" s="485"/>
      <c r="J940" s="486"/>
      <c r="K940" s="238"/>
      <c r="L940" s="238"/>
    </row>
    <row r="941">
      <c r="A941" s="482"/>
      <c r="C941" s="483"/>
      <c r="D941" s="483"/>
      <c r="E941" s="484"/>
      <c r="F941" s="483"/>
      <c r="G941" s="483"/>
      <c r="H941" s="483"/>
      <c r="I941" s="485"/>
      <c r="J941" s="486"/>
      <c r="K941" s="238"/>
      <c r="L941" s="238"/>
    </row>
    <row r="942">
      <c r="A942" s="482"/>
      <c r="C942" s="483"/>
      <c r="D942" s="483"/>
      <c r="E942" s="484"/>
      <c r="F942" s="483"/>
      <c r="G942" s="483"/>
      <c r="H942" s="483"/>
      <c r="I942" s="485"/>
      <c r="J942" s="486"/>
      <c r="K942" s="238"/>
      <c r="L942" s="238"/>
    </row>
    <row r="943">
      <c r="A943" s="482"/>
      <c r="C943" s="483"/>
      <c r="D943" s="483"/>
      <c r="E943" s="484"/>
      <c r="F943" s="483"/>
      <c r="G943" s="483"/>
      <c r="H943" s="483"/>
      <c r="I943" s="485"/>
      <c r="J943" s="486"/>
      <c r="K943" s="238"/>
      <c r="L943" s="238"/>
    </row>
    <row r="944">
      <c r="A944" s="482"/>
      <c r="C944" s="483"/>
      <c r="D944" s="483"/>
      <c r="E944" s="484"/>
      <c r="F944" s="483"/>
      <c r="G944" s="483"/>
      <c r="H944" s="483"/>
      <c r="I944" s="485"/>
      <c r="J944" s="486"/>
      <c r="K944" s="238"/>
      <c r="L944" s="238"/>
    </row>
    <row r="945">
      <c r="A945" s="482"/>
      <c r="C945" s="483"/>
      <c r="D945" s="483"/>
      <c r="E945" s="484"/>
      <c r="F945" s="483"/>
      <c r="G945" s="483"/>
      <c r="H945" s="483"/>
      <c r="I945" s="485"/>
      <c r="J945" s="486"/>
      <c r="K945" s="238"/>
      <c r="L945" s="238"/>
    </row>
    <row r="946">
      <c r="A946" s="482"/>
      <c r="C946" s="483"/>
      <c r="D946" s="483"/>
      <c r="E946" s="484"/>
      <c r="F946" s="483"/>
      <c r="G946" s="483"/>
      <c r="H946" s="483"/>
      <c r="I946" s="485"/>
      <c r="J946" s="486"/>
      <c r="K946" s="238"/>
      <c r="L946" s="238"/>
    </row>
    <row r="947">
      <c r="A947" s="482"/>
      <c r="C947" s="483"/>
      <c r="D947" s="483"/>
      <c r="E947" s="484"/>
      <c r="F947" s="483"/>
      <c r="G947" s="483"/>
      <c r="H947" s="483"/>
      <c r="I947" s="485"/>
      <c r="J947" s="486"/>
      <c r="K947" s="238"/>
      <c r="L947" s="238"/>
    </row>
    <row r="948">
      <c r="A948" s="482"/>
      <c r="C948" s="483"/>
      <c r="D948" s="483"/>
      <c r="E948" s="484"/>
      <c r="F948" s="483"/>
      <c r="G948" s="483"/>
      <c r="H948" s="483"/>
      <c r="I948" s="485"/>
      <c r="J948" s="486"/>
      <c r="K948" s="238"/>
      <c r="L948" s="238"/>
    </row>
    <row r="949">
      <c r="A949" s="482"/>
      <c r="C949" s="483"/>
      <c r="D949" s="483"/>
      <c r="E949" s="484"/>
      <c r="F949" s="483"/>
      <c r="G949" s="483"/>
      <c r="H949" s="483"/>
      <c r="I949" s="485"/>
      <c r="J949" s="486"/>
      <c r="K949" s="238"/>
      <c r="L949" s="238"/>
    </row>
    <row r="950">
      <c r="A950" s="482"/>
      <c r="C950" s="483"/>
      <c r="D950" s="483"/>
      <c r="E950" s="484"/>
      <c r="F950" s="483"/>
      <c r="G950" s="483"/>
      <c r="H950" s="483"/>
      <c r="I950" s="485"/>
      <c r="J950" s="486"/>
      <c r="K950" s="238"/>
      <c r="L950" s="238"/>
    </row>
    <row r="951">
      <c r="A951" s="482"/>
      <c r="C951" s="483"/>
      <c r="D951" s="483"/>
      <c r="E951" s="484"/>
      <c r="F951" s="483"/>
      <c r="G951" s="483"/>
      <c r="H951" s="483"/>
      <c r="I951" s="485"/>
      <c r="J951" s="486"/>
      <c r="K951" s="238"/>
      <c r="L951" s="238"/>
    </row>
    <row r="952">
      <c r="A952" s="482"/>
      <c r="C952" s="483"/>
      <c r="D952" s="483"/>
      <c r="E952" s="484"/>
      <c r="F952" s="483"/>
      <c r="G952" s="483"/>
      <c r="H952" s="483"/>
      <c r="I952" s="485"/>
      <c r="J952" s="486"/>
      <c r="K952" s="238"/>
      <c r="L952" s="238"/>
    </row>
    <row r="953">
      <c r="A953" s="482"/>
      <c r="C953" s="483"/>
      <c r="D953" s="483"/>
      <c r="E953" s="484"/>
      <c r="F953" s="483"/>
      <c r="G953" s="483"/>
      <c r="H953" s="483"/>
      <c r="I953" s="485"/>
      <c r="J953" s="486"/>
      <c r="K953" s="238"/>
      <c r="L953" s="238"/>
    </row>
    <row r="954">
      <c r="A954" s="482"/>
      <c r="C954" s="483"/>
      <c r="D954" s="483"/>
      <c r="E954" s="484"/>
      <c r="F954" s="483"/>
      <c r="G954" s="483"/>
      <c r="H954" s="483"/>
      <c r="I954" s="485"/>
      <c r="J954" s="486"/>
      <c r="K954" s="238"/>
      <c r="L954" s="238"/>
    </row>
    <row r="955">
      <c r="A955" s="482"/>
      <c r="C955" s="483"/>
      <c r="D955" s="483"/>
      <c r="E955" s="484"/>
      <c r="F955" s="483"/>
      <c r="G955" s="483"/>
      <c r="H955" s="483"/>
      <c r="I955" s="485"/>
      <c r="J955" s="486"/>
      <c r="K955" s="238"/>
      <c r="L955" s="238"/>
    </row>
    <row r="956">
      <c r="A956" s="482"/>
      <c r="C956" s="483"/>
      <c r="D956" s="483"/>
      <c r="E956" s="484"/>
      <c r="F956" s="483"/>
      <c r="G956" s="483"/>
      <c r="H956" s="483"/>
      <c r="I956" s="485"/>
      <c r="J956" s="486"/>
      <c r="K956" s="238"/>
      <c r="L956" s="238"/>
    </row>
    <row r="957">
      <c r="A957" s="482"/>
      <c r="C957" s="483"/>
      <c r="D957" s="483"/>
      <c r="E957" s="484"/>
      <c r="F957" s="483"/>
      <c r="G957" s="483"/>
      <c r="H957" s="483"/>
      <c r="I957" s="485"/>
      <c r="J957" s="486"/>
      <c r="K957" s="238"/>
      <c r="L957" s="238"/>
    </row>
    <row r="958">
      <c r="A958" s="482"/>
      <c r="C958" s="483"/>
      <c r="D958" s="483"/>
      <c r="E958" s="484"/>
      <c r="F958" s="483"/>
      <c r="G958" s="483"/>
      <c r="H958" s="483"/>
      <c r="I958" s="485"/>
      <c r="J958" s="486"/>
      <c r="K958" s="238"/>
      <c r="L958" s="238"/>
    </row>
    <row r="959">
      <c r="A959" s="482"/>
      <c r="C959" s="483"/>
      <c r="D959" s="483"/>
      <c r="E959" s="484"/>
      <c r="F959" s="483"/>
      <c r="G959" s="483"/>
      <c r="H959" s="483"/>
      <c r="I959" s="485"/>
      <c r="J959" s="486"/>
      <c r="K959" s="238"/>
      <c r="L959" s="238"/>
    </row>
    <row r="960">
      <c r="A960" s="482"/>
      <c r="C960" s="483"/>
      <c r="D960" s="483"/>
      <c r="E960" s="484"/>
      <c r="F960" s="483"/>
      <c r="G960" s="483"/>
      <c r="H960" s="483"/>
      <c r="I960" s="485"/>
      <c r="J960" s="486"/>
      <c r="K960" s="238"/>
      <c r="L960" s="238"/>
    </row>
    <row r="961">
      <c r="A961" s="482"/>
      <c r="C961" s="483"/>
      <c r="D961" s="483"/>
      <c r="E961" s="484"/>
      <c r="F961" s="483"/>
      <c r="G961" s="483"/>
      <c r="H961" s="483"/>
      <c r="I961" s="485"/>
      <c r="J961" s="486"/>
      <c r="K961" s="238"/>
      <c r="L961" s="238"/>
    </row>
    <row r="962">
      <c r="A962" s="482"/>
      <c r="C962" s="483"/>
      <c r="D962" s="483"/>
      <c r="E962" s="484"/>
      <c r="F962" s="483"/>
      <c r="G962" s="483"/>
      <c r="H962" s="483"/>
      <c r="I962" s="485"/>
      <c r="J962" s="486"/>
      <c r="K962" s="238"/>
      <c r="L962" s="238"/>
    </row>
    <row r="963">
      <c r="A963" s="482"/>
      <c r="C963" s="483"/>
      <c r="D963" s="483"/>
      <c r="E963" s="484"/>
      <c r="F963" s="483"/>
      <c r="G963" s="483"/>
      <c r="H963" s="483"/>
      <c r="I963" s="485"/>
      <c r="J963" s="486"/>
      <c r="K963" s="238"/>
      <c r="L963" s="238"/>
    </row>
    <row r="964">
      <c r="A964" s="482"/>
      <c r="C964" s="483"/>
      <c r="D964" s="483"/>
      <c r="E964" s="484"/>
      <c r="F964" s="483"/>
      <c r="G964" s="483"/>
      <c r="H964" s="483"/>
      <c r="I964" s="485"/>
      <c r="J964" s="486"/>
      <c r="K964" s="238"/>
      <c r="L964" s="238"/>
    </row>
    <row r="965">
      <c r="A965" s="482"/>
      <c r="C965" s="483"/>
      <c r="D965" s="483"/>
      <c r="E965" s="484"/>
      <c r="F965" s="483"/>
      <c r="G965" s="483"/>
      <c r="H965" s="483"/>
      <c r="I965" s="485"/>
      <c r="J965" s="486"/>
      <c r="K965" s="238"/>
      <c r="L965" s="238"/>
    </row>
    <row r="966">
      <c r="A966" s="482"/>
      <c r="C966" s="483"/>
      <c r="D966" s="483"/>
      <c r="E966" s="484"/>
      <c r="F966" s="483"/>
      <c r="G966" s="483"/>
      <c r="H966" s="483"/>
      <c r="I966" s="485"/>
      <c r="J966" s="486"/>
      <c r="K966" s="238"/>
      <c r="L966" s="238"/>
    </row>
    <row r="967">
      <c r="A967" s="482"/>
      <c r="C967" s="483"/>
      <c r="D967" s="483"/>
      <c r="E967" s="484"/>
      <c r="F967" s="483"/>
      <c r="G967" s="483"/>
      <c r="H967" s="483"/>
      <c r="I967" s="485"/>
      <c r="J967" s="486"/>
      <c r="K967" s="238"/>
      <c r="L967" s="238"/>
    </row>
    <row r="968">
      <c r="A968" s="482"/>
      <c r="C968" s="483"/>
      <c r="D968" s="483"/>
      <c r="E968" s="484"/>
      <c r="F968" s="483"/>
      <c r="G968" s="483"/>
      <c r="H968" s="483"/>
      <c r="I968" s="485"/>
      <c r="J968" s="486"/>
      <c r="K968" s="238"/>
      <c r="L968" s="238"/>
    </row>
    <row r="969">
      <c r="A969" s="482"/>
      <c r="C969" s="483"/>
      <c r="D969" s="483"/>
      <c r="E969" s="484"/>
      <c r="F969" s="483"/>
      <c r="G969" s="483"/>
      <c r="H969" s="483"/>
      <c r="I969" s="485"/>
      <c r="J969" s="486"/>
      <c r="K969" s="238"/>
      <c r="L969" s="238"/>
    </row>
    <row r="970">
      <c r="A970" s="482"/>
      <c r="C970" s="483"/>
      <c r="D970" s="483"/>
      <c r="E970" s="484"/>
      <c r="F970" s="483"/>
      <c r="G970" s="483"/>
      <c r="H970" s="483"/>
      <c r="I970" s="485"/>
      <c r="J970" s="486"/>
      <c r="K970" s="238"/>
      <c r="L970" s="238"/>
    </row>
    <row r="971">
      <c r="A971" s="482"/>
      <c r="C971" s="483"/>
      <c r="D971" s="483"/>
      <c r="E971" s="484"/>
      <c r="F971" s="483"/>
      <c r="G971" s="483"/>
      <c r="H971" s="483"/>
      <c r="I971" s="485"/>
      <c r="J971" s="486"/>
      <c r="K971" s="238"/>
      <c r="L971" s="238"/>
    </row>
    <row r="972">
      <c r="A972" s="482"/>
      <c r="C972" s="483"/>
      <c r="D972" s="483"/>
      <c r="E972" s="484"/>
      <c r="F972" s="483"/>
      <c r="G972" s="483"/>
      <c r="H972" s="483"/>
      <c r="I972" s="485"/>
      <c r="J972" s="486"/>
      <c r="K972" s="238"/>
      <c r="L972" s="238"/>
    </row>
    <row r="973">
      <c r="A973" s="482"/>
      <c r="C973" s="483"/>
      <c r="D973" s="483"/>
      <c r="E973" s="484"/>
      <c r="F973" s="483"/>
      <c r="G973" s="483"/>
      <c r="H973" s="483"/>
      <c r="I973" s="485"/>
      <c r="J973" s="486"/>
      <c r="K973" s="238"/>
      <c r="L973" s="238"/>
    </row>
    <row r="974">
      <c r="A974" s="482"/>
      <c r="C974" s="483"/>
      <c r="D974" s="483"/>
      <c r="E974" s="484"/>
      <c r="F974" s="483"/>
      <c r="G974" s="483"/>
      <c r="H974" s="483"/>
      <c r="I974" s="485"/>
      <c r="J974" s="486"/>
      <c r="K974" s="238"/>
      <c r="L974" s="238"/>
    </row>
    <row r="975">
      <c r="A975" s="482"/>
      <c r="C975" s="483"/>
      <c r="D975" s="483"/>
      <c r="E975" s="484"/>
      <c r="F975" s="483"/>
      <c r="G975" s="483"/>
      <c r="H975" s="483"/>
      <c r="I975" s="485"/>
      <c r="J975" s="486"/>
      <c r="K975" s="238"/>
      <c r="L975" s="238"/>
    </row>
    <row r="976">
      <c r="A976" s="482"/>
      <c r="C976" s="483"/>
      <c r="D976" s="483"/>
      <c r="E976" s="484"/>
      <c r="F976" s="483"/>
      <c r="G976" s="483"/>
      <c r="H976" s="483"/>
      <c r="I976" s="485"/>
      <c r="J976" s="486"/>
      <c r="K976" s="238"/>
      <c r="L976" s="238"/>
    </row>
    <row r="977">
      <c r="A977" s="482"/>
      <c r="C977" s="483"/>
      <c r="D977" s="483"/>
      <c r="E977" s="484"/>
      <c r="F977" s="483"/>
      <c r="G977" s="483"/>
      <c r="H977" s="483"/>
      <c r="I977" s="485"/>
      <c r="J977" s="486"/>
      <c r="K977" s="238"/>
      <c r="L977" s="238"/>
    </row>
    <row r="978">
      <c r="A978" s="482"/>
      <c r="C978" s="483"/>
      <c r="D978" s="483"/>
      <c r="E978" s="484"/>
      <c r="F978" s="483"/>
      <c r="G978" s="483"/>
      <c r="H978" s="483"/>
      <c r="I978" s="485"/>
      <c r="J978" s="486"/>
      <c r="K978" s="238"/>
      <c r="L978" s="238"/>
    </row>
    <row r="979">
      <c r="A979" s="482"/>
      <c r="C979" s="483"/>
      <c r="D979" s="483"/>
      <c r="E979" s="484"/>
      <c r="F979" s="483"/>
      <c r="G979" s="483"/>
      <c r="H979" s="483"/>
      <c r="I979" s="485"/>
      <c r="J979" s="486"/>
      <c r="K979" s="238"/>
      <c r="L979" s="238"/>
    </row>
    <row r="980">
      <c r="A980" s="482"/>
      <c r="C980" s="483"/>
      <c r="D980" s="483"/>
      <c r="E980" s="484"/>
      <c r="F980" s="483"/>
      <c r="G980" s="483"/>
      <c r="H980" s="483"/>
      <c r="I980" s="485"/>
      <c r="J980" s="486"/>
      <c r="K980" s="238"/>
      <c r="L980" s="238"/>
    </row>
    <row r="981">
      <c r="A981" s="482"/>
      <c r="C981" s="483"/>
      <c r="D981" s="483"/>
      <c r="E981" s="484"/>
      <c r="F981" s="483"/>
      <c r="G981" s="483"/>
      <c r="H981" s="483"/>
      <c r="I981" s="485"/>
      <c r="J981" s="486"/>
      <c r="K981" s="238"/>
      <c r="L981" s="238"/>
    </row>
    <row r="982">
      <c r="A982" s="482"/>
      <c r="C982" s="483"/>
      <c r="D982" s="483"/>
      <c r="E982" s="484"/>
      <c r="F982" s="483"/>
      <c r="G982" s="483"/>
      <c r="H982" s="483"/>
      <c r="I982" s="485"/>
      <c r="J982" s="486"/>
      <c r="K982" s="238"/>
      <c r="L982" s="238"/>
    </row>
    <row r="983">
      <c r="A983" s="482"/>
      <c r="C983" s="483"/>
      <c r="D983" s="483"/>
      <c r="E983" s="484"/>
      <c r="F983" s="483"/>
      <c r="G983" s="483"/>
      <c r="H983" s="483"/>
      <c r="I983" s="485"/>
      <c r="J983" s="486"/>
      <c r="K983" s="238"/>
      <c r="L983" s="238"/>
    </row>
    <row r="984">
      <c r="A984" s="482"/>
      <c r="C984" s="483"/>
      <c r="D984" s="483"/>
      <c r="E984" s="484"/>
      <c r="F984" s="483"/>
      <c r="G984" s="483"/>
      <c r="H984" s="483"/>
      <c r="I984" s="485"/>
      <c r="J984" s="486"/>
      <c r="K984" s="238"/>
      <c r="L984" s="238"/>
    </row>
    <row r="985">
      <c r="A985" s="482"/>
      <c r="C985" s="483"/>
      <c r="D985" s="483"/>
      <c r="E985" s="484"/>
      <c r="F985" s="483"/>
      <c r="G985" s="483"/>
      <c r="H985" s="483"/>
      <c r="I985" s="485"/>
      <c r="J985" s="486"/>
      <c r="K985" s="238"/>
      <c r="L985" s="238"/>
    </row>
    <row r="986">
      <c r="A986" s="482"/>
      <c r="C986" s="483"/>
      <c r="D986" s="483"/>
      <c r="E986" s="484"/>
      <c r="F986" s="483"/>
      <c r="G986" s="483"/>
      <c r="H986" s="483"/>
      <c r="I986" s="485"/>
      <c r="J986" s="486"/>
      <c r="K986" s="238"/>
      <c r="L986" s="238"/>
    </row>
    <row r="987">
      <c r="A987" s="482"/>
      <c r="C987" s="483"/>
      <c r="D987" s="483"/>
      <c r="E987" s="484"/>
      <c r="F987" s="483"/>
      <c r="G987" s="483"/>
      <c r="H987" s="483"/>
      <c r="I987" s="485"/>
      <c r="J987" s="486"/>
      <c r="K987" s="238"/>
      <c r="L987" s="238"/>
    </row>
    <row r="988">
      <c r="A988" s="482"/>
      <c r="C988" s="483"/>
      <c r="D988" s="483"/>
      <c r="E988" s="484"/>
      <c r="F988" s="483"/>
      <c r="G988" s="483"/>
      <c r="H988" s="483"/>
      <c r="I988" s="485"/>
      <c r="J988" s="486"/>
      <c r="K988" s="238"/>
      <c r="L988" s="238"/>
    </row>
    <row r="989">
      <c r="A989" s="482"/>
      <c r="C989" s="483"/>
      <c r="D989" s="483"/>
      <c r="E989" s="484"/>
      <c r="F989" s="483"/>
      <c r="G989" s="483"/>
      <c r="H989" s="483"/>
      <c r="I989" s="485"/>
      <c r="J989" s="486"/>
      <c r="K989" s="238"/>
      <c r="L989" s="238"/>
    </row>
    <row r="990">
      <c r="A990" s="482"/>
      <c r="C990" s="483"/>
      <c r="D990" s="483"/>
      <c r="E990" s="484"/>
      <c r="F990" s="483"/>
      <c r="G990" s="483"/>
      <c r="H990" s="483"/>
      <c r="I990" s="485"/>
      <c r="J990" s="486"/>
      <c r="K990" s="238"/>
      <c r="L990" s="238"/>
    </row>
    <row r="991">
      <c r="A991" s="482"/>
      <c r="C991" s="483"/>
      <c r="D991" s="483"/>
      <c r="E991" s="484"/>
      <c r="F991" s="483"/>
      <c r="G991" s="483"/>
      <c r="H991" s="483"/>
      <c r="I991" s="485"/>
      <c r="J991" s="486"/>
      <c r="K991" s="238"/>
      <c r="L991" s="238"/>
    </row>
    <row r="992">
      <c r="A992" s="482"/>
      <c r="C992" s="483"/>
      <c r="D992" s="483"/>
      <c r="E992" s="484"/>
      <c r="F992" s="483"/>
      <c r="G992" s="483"/>
      <c r="H992" s="483"/>
      <c r="I992" s="485"/>
      <c r="J992" s="486"/>
      <c r="K992" s="238"/>
      <c r="L992" s="238"/>
    </row>
    <row r="993">
      <c r="A993" s="482"/>
      <c r="C993" s="483"/>
      <c r="D993" s="483"/>
      <c r="E993" s="484"/>
      <c r="F993" s="483"/>
      <c r="G993" s="483"/>
      <c r="H993" s="483"/>
      <c r="I993" s="485"/>
      <c r="J993" s="486"/>
      <c r="K993" s="238"/>
      <c r="L993" s="238"/>
    </row>
    <row r="994">
      <c r="A994" s="482"/>
      <c r="C994" s="483"/>
      <c r="D994" s="483"/>
      <c r="E994" s="484"/>
      <c r="F994" s="483"/>
      <c r="G994" s="483"/>
      <c r="H994" s="483"/>
      <c r="I994" s="485"/>
      <c r="J994" s="486"/>
      <c r="K994" s="238"/>
      <c r="L994" s="238"/>
    </row>
    <row r="995">
      <c r="A995" s="482"/>
      <c r="C995" s="483"/>
      <c r="D995" s="483"/>
      <c r="E995" s="484"/>
      <c r="F995" s="483"/>
      <c r="G995" s="483"/>
      <c r="H995" s="483"/>
      <c r="I995" s="485"/>
      <c r="J995" s="486"/>
      <c r="K995" s="238"/>
      <c r="L995" s="238"/>
    </row>
    <row r="996">
      <c r="A996" s="482"/>
      <c r="C996" s="483"/>
      <c r="D996" s="483"/>
      <c r="E996" s="484"/>
      <c r="F996" s="483"/>
      <c r="G996" s="483"/>
      <c r="H996" s="483"/>
      <c r="I996" s="485"/>
      <c r="J996" s="486"/>
      <c r="K996" s="238"/>
      <c r="L996" s="238"/>
    </row>
    <row r="997">
      <c r="A997" s="482"/>
      <c r="C997" s="483"/>
      <c r="D997" s="483"/>
      <c r="E997" s="484"/>
      <c r="F997" s="483"/>
      <c r="G997" s="483"/>
      <c r="H997" s="483"/>
      <c r="I997" s="485"/>
      <c r="J997" s="486"/>
      <c r="K997" s="238"/>
      <c r="L997" s="238"/>
    </row>
    <row r="998">
      <c r="A998" s="482"/>
      <c r="C998" s="483"/>
      <c r="D998" s="483"/>
      <c r="E998" s="484"/>
      <c r="F998" s="483"/>
      <c r="G998" s="483"/>
      <c r="H998" s="483"/>
      <c r="I998" s="485"/>
      <c r="J998" s="486"/>
      <c r="K998" s="238"/>
      <c r="L998" s="238"/>
    </row>
    <row r="999">
      <c r="A999" s="482"/>
      <c r="C999" s="483"/>
      <c r="D999" s="483"/>
      <c r="E999" s="484"/>
      <c r="F999" s="483"/>
      <c r="G999" s="483"/>
      <c r="H999" s="483"/>
      <c r="I999" s="485"/>
      <c r="J999" s="486"/>
      <c r="K999" s="238"/>
      <c r="L999" s="238"/>
    </row>
    <row r="1000">
      <c r="A1000" s="482"/>
      <c r="C1000" s="483"/>
      <c r="D1000" s="483"/>
      <c r="E1000" s="484"/>
      <c r="F1000" s="483"/>
      <c r="G1000" s="483"/>
      <c r="H1000" s="483"/>
      <c r="I1000" s="485"/>
      <c r="J1000" s="486"/>
      <c r="K1000" s="238"/>
      <c r="L1000" s="238"/>
    </row>
    <row r="1001">
      <c r="A1001" s="482"/>
      <c r="C1001" s="483"/>
      <c r="D1001" s="483"/>
      <c r="E1001" s="484"/>
      <c r="F1001" s="483"/>
      <c r="G1001" s="483"/>
      <c r="H1001" s="483"/>
      <c r="I1001" s="485"/>
      <c r="J1001" s="486"/>
      <c r="K1001" s="238"/>
      <c r="L1001" s="238"/>
    </row>
    <row r="1002">
      <c r="A1002" s="482"/>
      <c r="C1002" s="483"/>
      <c r="D1002" s="483"/>
      <c r="E1002" s="484"/>
      <c r="F1002" s="483"/>
      <c r="G1002" s="483"/>
      <c r="H1002" s="483"/>
      <c r="I1002" s="485"/>
      <c r="J1002" s="486"/>
      <c r="K1002" s="238"/>
      <c r="L1002" s="238"/>
    </row>
    <row r="1003">
      <c r="A1003" s="482"/>
      <c r="C1003" s="483"/>
      <c r="D1003" s="483"/>
      <c r="E1003" s="484"/>
      <c r="F1003" s="483"/>
      <c r="G1003" s="483"/>
      <c r="H1003" s="483"/>
      <c r="I1003" s="485"/>
      <c r="J1003" s="486"/>
      <c r="K1003" s="238"/>
      <c r="L1003" s="238"/>
    </row>
    <row r="1004">
      <c r="A1004" s="482"/>
      <c r="C1004" s="483"/>
      <c r="D1004" s="483"/>
      <c r="E1004" s="484"/>
      <c r="F1004" s="483"/>
      <c r="G1004" s="483"/>
      <c r="H1004" s="483"/>
      <c r="I1004" s="485"/>
      <c r="J1004" s="486"/>
      <c r="K1004" s="238"/>
      <c r="L1004" s="238"/>
    </row>
    <row r="1005">
      <c r="A1005" s="482"/>
      <c r="C1005" s="483"/>
      <c r="D1005" s="483"/>
      <c r="E1005" s="484"/>
      <c r="F1005" s="483"/>
      <c r="G1005" s="483"/>
      <c r="H1005" s="483"/>
      <c r="I1005" s="485"/>
      <c r="J1005" s="486"/>
      <c r="K1005" s="238"/>
      <c r="L1005" s="238"/>
    </row>
    <row r="1006">
      <c r="A1006" s="482"/>
      <c r="C1006" s="483"/>
      <c r="D1006" s="483"/>
      <c r="E1006" s="484"/>
      <c r="F1006" s="483"/>
      <c r="G1006" s="483"/>
      <c r="H1006" s="483"/>
      <c r="I1006" s="485"/>
      <c r="J1006" s="486"/>
      <c r="K1006" s="238"/>
      <c r="L1006" s="238"/>
    </row>
  </sheetData>
  <mergeCells count="4">
    <mergeCell ref="A1:L1"/>
    <mergeCell ref="C2:D2"/>
    <mergeCell ref="E2:F2"/>
    <mergeCell ref="K2:L2"/>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0.0"/>
    <col customWidth="1" min="6" max="6" width="94.38"/>
  </cols>
  <sheetData>
    <row r="1">
      <c r="A1" s="487" t="s">
        <v>584</v>
      </c>
      <c r="B1" s="488" t="s">
        <v>502</v>
      </c>
      <c r="C1" s="489" t="s">
        <v>585</v>
      </c>
      <c r="D1" s="490" t="s">
        <v>586</v>
      </c>
      <c r="F1" s="491" t="s">
        <v>587</v>
      </c>
    </row>
    <row r="2" ht="17.25" customHeight="1">
      <c r="A2" s="492">
        <v>11.0</v>
      </c>
      <c r="B2" s="493" t="s">
        <v>588</v>
      </c>
      <c r="C2" s="494">
        <f t="shared" ref="C2:C46" si="1">D2-100</f>
        <v>0</v>
      </c>
      <c r="D2" s="495">
        <f>IFERROR(__xludf.DUMMYFUNCTION("IMPORTRANGE(""https://docs.google.com/spreadsheets/d/1VIApWyUAXX6keGlOrJuNMFqZ8R1cEuFOP75KhY1LyTM/edit"", ""Hoja 1!G3"")"),100.0)</f>
        <v>100</v>
      </c>
      <c r="F2" s="496" t="s">
        <v>589</v>
      </c>
    </row>
    <row r="3" ht="18.0" customHeight="1">
      <c r="A3" s="497"/>
      <c r="B3" s="498" t="s">
        <v>590</v>
      </c>
      <c r="C3" s="499">
        <f t="shared" si="1"/>
        <v>100</v>
      </c>
      <c r="D3" s="500">
        <f>IFERROR(__xludf.DUMMYFUNCTION("IMPORTRANGE(""https://docs.google.com/spreadsheets/d/1VIApWyUAXX6keGlOrJuNMFqZ8R1cEuFOP75KhY1LyTM/edit"", ""Hoja 1!G4"")"),200.0)</f>
        <v>200</v>
      </c>
      <c r="F3" s="496" t="s">
        <v>591</v>
      </c>
    </row>
    <row r="4" ht="17.25" customHeight="1">
      <c r="A4" s="501" t="s">
        <v>592</v>
      </c>
      <c r="B4" s="502" t="s">
        <v>588</v>
      </c>
      <c r="C4" s="503">
        <f t="shared" si="1"/>
        <v>130</v>
      </c>
      <c r="D4" s="504">
        <f>IFERROR(__xludf.DUMMYFUNCTION("IMPORTRANGE(""https://docs.google.com/spreadsheets/d/1VIApWyUAXX6keGlOrJuNMFqZ8R1cEuFOP75KhY1LyTM/edit"", ""Hoja 1!G5"")"),230.0)</f>
        <v>230</v>
      </c>
      <c r="F4" s="496" t="s">
        <v>593</v>
      </c>
    </row>
    <row r="5" ht="17.25" customHeight="1">
      <c r="A5" s="497"/>
      <c r="B5" s="505" t="s">
        <v>594</v>
      </c>
      <c r="C5" s="506">
        <f t="shared" si="1"/>
        <v>160</v>
      </c>
      <c r="D5" s="507">
        <f>IFERROR(__xludf.DUMMYFUNCTION("IMPORTRANGE(""https://docs.google.com/spreadsheets/d/1VIApWyUAXX6keGlOrJuNMFqZ8R1cEuFOP75KhY1LyTM/edit"", ""Hoja 1!G6"")"),260.0)</f>
        <v>260</v>
      </c>
      <c r="F5" s="496" t="s">
        <v>595</v>
      </c>
    </row>
    <row r="6" ht="17.25" customHeight="1">
      <c r="A6" s="492" t="s">
        <v>596</v>
      </c>
      <c r="B6" s="493" t="s">
        <v>588</v>
      </c>
      <c r="C6" s="494">
        <f t="shared" si="1"/>
        <v>190</v>
      </c>
      <c r="D6" s="508">
        <f>IFERROR(__xludf.DUMMYFUNCTION("IMPORTRANGE(""https://docs.google.com/spreadsheets/d/1VIApWyUAXX6keGlOrJuNMFqZ8R1cEuFOP75KhY1LyTM/edit"", ""Hoja 1!G7"")"),290.0)</f>
        <v>290</v>
      </c>
      <c r="F6" s="496" t="s">
        <v>597</v>
      </c>
    </row>
    <row r="7" ht="16.5" customHeight="1">
      <c r="A7" s="497"/>
      <c r="B7" s="509" t="s">
        <v>594</v>
      </c>
      <c r="C7" s="499">
        <f t="shared" si="1"/>
        <v>290</v>
      </c>
      <c r="D7" s="510">
        <f>IFERROR(__xludf.DUMMYFUNCTION("IMPORTRANGE(""https://docs.google.com/spreadsheets/d/1VIApWyUAXX6keGlOrJuNMFqZ8R1cEuFOP75KhY1LyTM/edit"", ""Hoja 1!G8"")"),390.0)</f>
        <v>390</v>
      </c>
      <c r="F7" s="496" t="s">
        <v>598</v>
      </c>
    </row>
    <row r="8" ht="17.25" customHeight="1">
      <c r="A8" s="501" t="s">
        <v>599</v>
      </c>
      <c r="B8" s="502" t="s">
        <v>588</v>
      </c>
      <c r="C8" s="503">
        <f t="shared" si="1"/>
        <v>80</v>
      </c>
      <c r="D8" s="504">
        <f>IFERROR(__xludf.DUMMYFUNCTION("IMPORTRANGE(""https://docs.google.com/spreadsheets/d/1VIApWyUAXX6keGlOrJuNMFqZ8R1cEuFOP75KhY1LyTM/edit"", ""Hoja 1!G9"")"),180.0)</f>
        <v>180</v>
      </c>
      <c r="F8" s="496" t="s">
        <v>600</v>
      </c>
    </row>
    <row r="9" ht="18.0" customHeight="1">
      <c r="A9" s="497"/>
      <c r="B9" s="505" t="s">
        <v>601</v>
      </c>
      <c r="C9" s="506">
        <f t="shared" si="1"/>
        <v>120</v>
      </c>
      <c r="D9" s="507">
        <f>IFERROR(__xludf.DUMMYFUNCTION("IMPORTRANGE(""https://docs.google.com/spreadsheets/d/1VIApWyUAXX6keGlOrJuNMFqZ8R1cEuFOP75KhY1LyTM/edit"", ""Hoja 1!G10"")"),220.0)</f>
        <v>220</v>
      </c>
      <c r="F9" s="496" t="s">
        <v>602</v>
      </c>
    </row>
    <row r="10" ht="17.25" customHeight="1">
      <c r="A10" s="492">
        <v>12.0</v>
      </c>
      <c r="B10" s="493" t="s">
        <v>588</v>
      </c>
      <c r="C10" s="494">
        <f t="shared" si="1"/>
        <v>110</v>
      </c>
      <c r="D10" s="508">
        <f>IFERROR(__xludf.DUMMYFUNCTION("IMPORTRANGE(""https://docs.google.com/spreadsheets/d/1VIApWyUAXX6keGlOrJuNMFqZ8R1cEuFOP75KhY1LyTM/edit"", ""Hoja 1!G11"")"),210.0)</f>
        <v>210</v>
      </c>
      <c r="F10" s="511" t="s">
        <v>603</v>
      </c>
    </row>
    <row r="11" ht="17.25" customHeight="1">
      <c r="A11" s="512"/>
      <c r="B11" s="513" t="s">
        <v>601</v>
      </c>
      <c r="C11" s="514">
        <f t="shared" si="1"/>
        <v>160</v>
      </c>
      <c r="D11" s="515">
        <f>IFERROR(__xludf.DUMMYFUNCTION("IMPORTRANGE(""https://docs.google.com/spreadsheets/d/1VIApWyUAXX6keGlOrJuNMFqZ8R1cEuFOP75KhY1LyTM/edit"", ""Hoja 1!G12"")"),260.0)</f>
        <v>260</v>
      </c>
      <c r="F11" s="516"/>
    </row>
    <row r="12">
      <c r="A12" s="497"/>
      <c r="B12" s="509" t="s">
        <v>594</v>
      </c>
      <c r="C12" s="499">
        <f t="shared" si="1"/>
        <v>180</v>
      </c>
      <c r="D12" s="510">
        <f>IFERROR(__xludf.DUMMYFUNCTION("IMPORTRANGE(""https://docs.google.com/spreadsheets/d/1VIApWyUAXX6keGlOrJuNMFqZ8R1cEuFOP75KhY1LyTM/edit"", ""Hoja 1!G13"")"),280.0)</f>
        <v>280</v>
      </c>
      <c r="F12" s="517" t="s">
        <v>604</v>
      </c>
    </row>
    <row r="13" ht="16.5" customHeight="1">
      <c r="A13" s="501" t="s">
        <v>605</v>
      </c>
      <c r="B13" s="502" t="s">
        <v>601</v>
      </c>
      <c r="C13" s="503">
        <f t="shared" si="1"/>
        <v>230</v>
      </c>
      <c r="D13" s="504">
        <f>IFERROR(__xludf.DUMMYFUNCTION("IMPORTRANGE(""https://docs.google.com/spreadsheets/d/1VIApWyUAXX6keGlOrJuNMFqZ8R1cEuFOP75KhY1LyTM/edit"", ""Hoja 1!G14"")"),330.0)</f>
        <v>330</v>
      </c>
      <c r="F13" s="518" t="s">
        <v>606</v>
      </c>
    </row>
    <row r="14" ht="18.0" customHeight="1">
      <c r="A14" s="497"/>
      <c r="B14" s="505" t="s">
        <v>594</v>
      </c>
      <c r="C14" s="506">
        <f t="shared" si="1"/>
        <v>260</v>
      </c>
      <c r="D14" s="507">
        <f>IFERROR(__xludf.DUMMYFUNCTION("IMPORTRANGE(""https://docs.google.com/spreadsheets/d/1VIApWyUAXX6keGlOrJuNMFqZ8R1cEuFOP75KhY1LyTM/edit"", ""Hoja 1!G15"")"),360.0)</f>
        <v>360</v>
      </c>
    </row>
    <row r="15" ht="17.25" customHeight="1">
      <c r="A15" s="492" t="s">
        <v>607</v>
      </c>
      <c r="B15" s="493" t="s">
        <v>601</v>
      </c>
      <c r="C15" s="494">
        <f t="shared" si="1"/>
        <v>230</v>
      </c>
      <c r="D15" s="508">
        <f>IFERROR(__xludf.DUMMYFUNCTION("IMPORTRANGE(""https://docs.google.com/spreadsheets/d/1VIApWyUAXX6keGlOrJuNMFqZ8R1cEuFOP75KhY1LyTM/edit"", ""Hoja 1!G16"")"),330.0)</f>
        <v>330</v>
      </c>
    </row>
    <row r="16" ht="18.0" customHeight="1">
      <c r="A16" s="497"/>
      <c r="B16" s="509" t="s">
        <v>594</v>
      </c>
      <c r="C16" s="499">
        <f t="shared" si="1"/>
        <v>370</v>
      </c>
      <c r="D16" s="510">
        <f>IFERROR(__xludf.DUMMYFUNCTION("IMPORTRANGE(""https://docs.google.com/spreadsheets/d/1VIApWyUAXX6keGlOrJuNMFqZ8R1cEuFOP75KhY1LyTM/edit"", ""Hoja 1!G17"")"),470.0)</f>
        <v>470</v>
      </c>
    </row>
    <row r="17" ht="17.25" customHeight="1">
      <c r="A17" s="501" t="s">
        <v>608</v>
      </c>
      <c r="B17" s="502" t="s">
        <v>601</v>
      </c>
      <c r="C17" s="503">
        <f t="shared" si="1"/>
        <v>170</v>
      </c>
      <c r="D17" s="504">
        <f>IFERROR(__xludf.DUMMYFUNCTION("IMPORTRANGE(""https://docs.google.com/spreadsheets/d/1VIApWyUAXX6keGlOrJuNMFqZ8R1cEuFOP75KhY1LyTM/edit"", ""Hoja 1!G18"")"),270.0)</f>
        <v>270</v>
      </c>
    </row>
    <row r="18" ht="17.25" customHeight="1">
      <c r="A18" s="497"/>
      <c r="B18" s="505" t="s">
        <v>594</v>
      </c>
      <c r="C18" s="506">
        <f t="shared" si="1"/>
        <v>210</v>
      </c>
      <c r="D18" s="507">
        <f>IFERROR(__xludf.DUMMYFUNCTION("IMPORTRANGE(""https://docs.google.com/spreadsheets/d/1VIApWyUAXX6keGlOrJuNMFqZ8R1cEuFOP75KhY1LyTM/edit"", ""Hoja 1!G19"")"),310.0)</f>
        <v>310</v>
      </c>
    </row>
    <row r="19">
      <c r="A19" s="492">
        <v>13.0</v>
      </c>
      <c r="B19" s="493" t="s">
        <v>601</v>
      </c>
      <c r="C19" s="494">
        <f t="shared" si="1"/>
        <v>175</v>
      </c>
      <c r="D19" s="508">
        <f>IFERROR(__xludf.DUMMYFUNCTION("IMPORTRANGE(""https://docs.google.com/spreadsheets/d/1VIApWyUAXX6keGlOrJuNMFqZ8R1cEuFOP75KhY1LyTM/edit"", ""Hoja 1!G20"")"),275.0)</f>
        <v>275</v>
      </c>
    </row>
    <row r="20">
      <c r="A20" s="497"/>
      <c r="B20" s="509" t="s">
        <v>594</v>
      </c>
      <c r="C20" s="499">
        <f t="shared" si="1"/>
        <v>215</v>
      </c>
      <c r="D20" s="510">
        <f>IFERROR(__xludf.DUMMYFUNCTION("IMPORTRANGE(""https://docs.google.com/spreadsheets/d/1VIApWyUAXX6keGlOrJuNMFqZ8R1cEuFOP75KhY1LyTM/edit"", ""Hoja 1!G21"")"),315.0)</f>
        <v>315</v>
      </c>
    </row>
    <row r="21">
      <c r="A21" s="501" t="s">
        <v>609</v>
      </c>
      <c r="B21" s="502" t="s">
        <v>601</v>
      </c>
      <c r="C21" s="503">
        <f t="shared" si="1"/>
        <v>300</v>
      </c>
      <c r="D21" s="504">
        <f>IFERROR(__xludf.DUMMYFUNCTION("IMPORTRANGE(""https://docs.google.com/spreadsheets/d/1VIApWyUAXX6keGlOrJuNMFqZ8R1cEuFOP75KhY1LyTM/edit"", ""Hoja 1!G22"")"),400.0)</f>
        <v>400</v>
      </c>
    </row>
    <row r="22">
      <c r="A22" s="497"/>
      <c r="B22" s="505" t="s">
        <v>594</v>
      </c>
      <c r="C22" s="506">
        <f t="shared" si="1"/>
        <v>305</v>
      </c>
      <c r="D22" s="507">
        <f>IFERROR(__xludf.DUMMYFUNCTION("IMPORTRANGE(""https://docs.google.com/spreadsheets/d/1VIApWyUAXX6keGlOrJuNMFqZ8R1cEuFOP75KhY1LyTM/edit"", ""Hoja 1!G23"")"),405.0)</f>
        <v>405</v>
      </c>
    </row>
    <row r="23">
      <c r="A23" s="492" t="s">
        <v>610</v>
      </c>
      <c r="B23" s="493" t="s">
        <v>601</v>
      </c>
      <c r="C23" s="494">
        <f t="shared" si="1"/>
        <v>325</v>
      </c>
      <c r="D23" s="508">
        <f>IFERROR(__xludf.DUMMYFUNCTION("IMPORTRANGE(""https://docs.google.com/spreadsheets/d/1VIApWyUAXX6keGlOrJuNMFqZ8R1cEuFOP75KhY1LyTM/edit"", ""Hoja 1!G24"")"),425.0)</f>
        <v>425</v>
      </c>
    </row>
    <row r="24">
      <c r="A24" s="497"/>
      <c r="B24" s="509" t="s">
        <v>594</v>
      </c>
      <c r="C24" s="499">
        <f t="shared" si="1"/>
        <v>365</v>
      </c>
      <c r="D24" s="510">
        <f>IFERROR(__xludf.DUMMYFUNCTION("IMPORTRANGE(""https://docs.google.com/spreadsheets/d/1VIApWyUAXX6keGlOrJuNMFqZ8R1cEuFOP75KhY1LyTM/edit"", ""Hoja 1!G25"")"),465.0)</f>
        <v>465</v>
      </c>
    </row>
    <row r="25">
      <c r="A25" s="501">
        <v>14.0</v>
      </c>
      <c r="B25" s="502" t="s">
        <v>601</v>
      </c>
      <c r="C25" s="503">
        <f t="shared" si="1"/>
        <v>260</v>
      </c>
      <c r="D25" s="504">
        <f>IFERROR(__xludf.DUMMYFUNCTION("IMPORTRANGE(""https://docs.google.com/spreadsheets/d/1VIApWyUAXX6keGlOrJuNMFqZ8R1cEuFOP75KhY1LyTM/edit"", ""Hoja 1!G26"")"),360.0)</f>
        <v>360</v>
      </c>
    </row>
    <row r="26">
      <c r="A26" s="497"/>
      <c r="B26" s="505" t="s">
        <v>594</v>
      </c>
      <c r="C26" s="506">
        <f t="shared" si="1"/>
        <v>300</v>
      </c>
      <c r="D26" s="507">
        <f>IFERROR(__xludf.DUMMYFUNCTION("IMPORTRANGE(""https://docs.google.com/spreadsheets/d/1VIApWyUAXX6keGlOrJuNMFqZ8R1cEuFOP75KhY1LyTM/edit"", ""Hoja 1!G27"")"),400.0)</f>
        <v>400</v>
      </c>
    </row>
    <row r="27">
      <c r="A27" s="519" t="s">
        <v>611</v>
      </c>
      <c r="B27" s="520" t="s">
        <v>601</v>
      </c>
      <c r="C27" s="521">
        <f t="shared" si="1"/>
        <v>-250</v>
      </c>
      <c r="D27" s="522">
        <f>IFERROR(__xludf.DUMMYFUNCTION("IMPORTRANGE(""https://docs.google.com/spreadsheets/d/1VIApWyUAXX6keGlOrJuNMFqZ8R1cEuFOP75KhY1LyTM/edit"", ""Hoja 1!G28"")"),-150.0)</f>
        <v>-150</v>
      </c>
    </row>
    <row r="28">
      <c r="A28" s="501" t="s">
        <v>612</v>
      </c>
      <c r="B28" s="502" t="s">
        <v>601</v>
      </c>
      <c r="C28" s="503">
        <f t="shared" si="1"/>
        <v>335</v>
      </c>
      <c r="D28" s="504">
        <f>IFERROR(__xludf.DUMMYFUNCTION("IMPORTRANGE(""https://docs.google.com/spreadsheets/d/1VIApWyUAXX6keGlOrJuNMFqZ8R1cEuFOP75KhY1LyTM/edit"", ""Hoja 1!G29"")"),435.0)</f>
        <v>435</v>
      </c>
    </row>
    <row r="29">
      <c r="A29" s="497"/>
      <c r="B29" s="505" t="s">
        <v>594</v>
      </c>
      <c r="C29" s="506">
        <f t="shared" si="1"/>
        <v>365</v>
      </c>
      <c r="D29" s="507">
        <f>IFERROR(__xludf.DUMMYFUNCTION("IMPORTRANGE(""https://docs.google.com/spreadsheets/d/1VIApWyUAXX6keGlOrJuNMFqZ8R1cEuFOP75KhY1LyTM/edit"", ""Hoja 1!G30"")"),465.0)</f>
        <v>465</v>
      </c>
    </row>
    <row r="30">
      <c r="A30" s="492" t="s">
        <v>613</v>
      </c>
      <c r="B30" s="493" t="s">
        <v>601</v>
      </c>
      <c r="C30" s="494">
        <f t="shared" si="1"/>
        <v>400</v>
      </c>
      <c r="D30" s="508">
        <f>IFERROR(__xludf.DUMMYFUNCTION("IMPORTRANGE(""https://docs.google.com/spreadsheets/d/1VIApWyUAXX6keGlOrJuNMFqZ8R1cEuFOP75KhY1LyTM/edit"", ""Hoja 1!G31"")"),500.0)</f>
        <v>500</v>
      </c>
    </row>
    <row r="31">
      <c r="A31" s="497"/>
      <c r="B31" s="509" t="s">
        <v>594</v>
      </c>
      <c r="C31" s="499">
        <f t="shared" si="1"/>
        <v>425</v>
      </c>
      <c r="D31" s="510">
        <f>IFERROR(__xludf.DUMMYFUNCTION("IMPORTRANGE(""https://docs.google.com/spreadsheets/d/1VIApWyUAXX6keGlOrJuNMFqZ8R1cEuFOP75KhY1LyTM/edit"", ""Hoja 1!G32"")"),525.0)</f>
        <v>525</v>
      </c>
    </row>
    <row r="32">
      <c r="A32" s="501">
        <v>15.0</v>
      </c>
      <c r="B32" s="502" t="s">
        <v>601</v>
      </c>
      <c r="C32" s="503">
        <f t="shared" si="1"/>
        <v>325</v>
      </c>
      <c r="D32" s="504">
        <f>IFERROR(__xludf.DUMMYFUNCTION("IMPORTRANGE(""https://docs.google.com/spreadsheets/d/1VIApWyUAXX6keGlOrJuNMFqZ8R1cEuFOP75KhY1LyTM/edit"", ""Hoja 1!G33"")"),425.0)</f>
        <v>425</v>
      </c>
    </row>
    <row r="33">
      <c r="A33" s="497"/>
      <c r="B33" s="505" t="s">
        <v>594</v>
      </c>
      <c r="C33" s="506">
        <f t="shared" si="1"/>
        <v>345</v>
      </c>
      <c r="D33" s="507">
        <f>IFERROR(__xludf.DUMMYFUNCTION("IMPORTRANGE(""https://docs.google.com/spreadsheets/d/1VIApWyUAXX6keGlOrJuNMFqZ8R1cEuFOP75KhY1LyTM/edit"", ""Hoja 1!G34"")"),445.0)</f>
        <v>445</v>
      </c>
    </row>
    <row r="34">
      <c r="A34" s="519" t="s">
        <v>614</v>
      </c>
      <c r="B34" s="520" t="s">
        <v>601</v>
      </c>
      <c r="C34" s="521">
        <f t="shared" si="1"/>
        <v>-100</v>
      </c>
      <c r="D34" s="522">
        <f>IFERROR(__xludf.DUMMYFUNCTION("IMPORTRANGE(""https://docs.google.com/spreadsheets/d/1VIApWyUAXX6keGlOrJuNMFqZ8R1cEuFOP75KhY1LyTM/edit"", ""Hoja 1!G35"")"),0.0)</f>
        <v>0</v>
      </c>
    </row>
    <row r="35">
      <c r="A35" s="501" t="s">
        <v>615</v>
      </c>
      <c r="B35" s="502" t="s">
        <v>601</v>
      </c>
      <c r="C35" s="503">
        <f t="shared" si="1"/>
        <v>495</v>
      </c>
      <c r="D35" s="504">
        <f>IFERROR(__xludf.DUMMYFUNCTION("IMPORTRANGE(""https://docs.google.com/spreadsheets/d/1VIApWyUAXX6keGlOrJuNMFqZ8R1cEuFOP75KhY1LyTM/edit"", ""Hoja 1!G36"")"),595.0)</f>
        <v>595</v>
      </c>
    </row>
    <row r="36">
      <c r="A36" s="497"/>
      <c r="B36" s="505" t="s">
        <v>594</v>
      </c>
      <c r="C36" s="506">
        <f t="shared" si="1"/>
        <v>525</v>
      </c>
      <c r="D36" s="507">
        <f>IFERROR(__xludf.DUMMYFUNCTION("IMPORTRANGE(""https://docs.google.com/spreadsheets/d/1VIApWyUAXX6keGlOrJuNMFqZ8R1cEuFOP75KhY1LyTM/edit"", ""Hoja 1!G37"")"),625.0)</f>
        <v>625</v>
      </c>
    </row>
    <row r="37">
      <c r="A37" s="492" t="s">
        <v>616</v>
      </c>
      <c r="B37" s="493" t="s">
        <v>594</v>
      </c>
      <c r="C37" s="494">
        <f t="shared" si="1"/>
        <v>605</v>
      </c>
      <c r="D37" s="508">
        <f>IFERROR(__xludf.DUMMYFUNCTION("IMPORTRANGE(""https://docs.google.com/spreadsheets/d/1VIApWyUAXX6keGlOrJuNMFqZ8R1cEuFOP75KhY1LyTM/edit"", ""Hoja 1!G38"")"),705.0)</f>
        <v>705</v>
      </c>
    </row>
    <row r="38">
      <c r="A38" s="497"/>
      <c r="B38" s="509" t="s">
        <v>617</v>
      </c>
      <c r="C38" s="499">
        <f t="shared" si="1"/>
        <v>625</v>
      </c>
      <c r="D38" s="510">
        <f>IFERROR(__xludf.DUMMYFUNCTION("IMPORTRANGE(""https://docs.google.com/spreadsheets/d/1VIApWyUAXX6keGlOrJuNMFqZ8R1cEuFOP75KhY1LyTM/edit"", ""Hoja 1!G39"")"),725.0)</f>
        <v>725</v>
      </c>
    </row>
    <row r="39">
      <c r="A39" s="501">
        <v>16.0</v>
      </c>
      <c r="B39" s="502" t="s">
        <v>601</v>
      </c>
      <c r="C39" s="503">
        <f t="shared" si="1"/>
        <v>495</v>
      </c>
      <c r="D39" s="504">
        <f>IFERROR(__xludf.DUMMYFUNCTION("IMPORTRANGE(""https://docs.google.com/spreadsheets/d/1VIApWyUAXX6keGlOrJuNMFqZ8R1cEuFOP75KhY1LyTM/edit"", ""Hoja 1!G40"")"),595.0)</f>
        <v>595</v>
      </c>
    </row>
    <row r="40">
      <c r="A40" s="497"/>
      <c r="B40" s="505" t="s">
        <v>594</v>
      </c>
      <c r="C40" s="506">
        <f t="shared" si="1"/>
        <v>515</v>
      </c>
      <c r="D40" s="507">
        <f>IFERROR(__xludf.DUMMYFUNCTION("IMPORTRANGE(""https://docs.google.com/spreadsheets/d/1VIApWyUAXX6keGlOrJuNMFqZ8R1cEuFOP75KhY1LyTM/edit"", ""Hoja 1!G41"")"),615.0)</f>
        <v>615</v>
      </c>
    </row>
    <row r="41">
      <c r="A41" s="519" t="s">
        <v>618</v>
      </c>
      <c r="B41" s="520" t="s">
        <v>601</v>
      </c>
      <c r="C41" s="521">
        <f t="shared" si="1"/>
        <v>-75</v>
      </c>
      <c r="D41" s="522">
        <f>IFERROR(__xludf.DUMMYFUNCTION("IMPORTRANGE(""https://docs.google.com/spreadsheets/d/1VIApWyUAXX6keGlOrJuNMFqZ8R1cEuFOP75KhY1LyTM/edit"", ""Hoja 1!G42"")"),25.0)</f>
        <v>25</v>
      </c>
    </row>
    <row r="42">
      <c r="A42" s="523" t="s">
        <v>619</v>
      </c>
      <c r="B42" s="524" t="s">
        <v>601</v>
      </c>
      <c r="C42" s="525">
        <f t="shared" si="1"/>
        <v>-100</v>
      </c>
      <c r="D42" s="526" t="str">
        <f>IFERROR(__xludf.DUMMYFUNCTION("IMPORTRANGE(""https://docs.google.com/spreadsheets/d/1VIApWyUAXX6keGlOrJuNMFqZ8R1cEuFOP75KhY1LyTM/edit"", ""Hoja 1!G43"")"),"")</f>
        <v/>
      </c>
    </row>
    <row r="43">
      <c r="A43" s="492" t="s">
        <v>620</v>
      </c>
      <c r="B43" s="493" t="s">
        <v>601</v>
      </c>
      <c r="C43" s="494">
        <f t="shared" si="1"/>
        <v>695</v>
      </c>
      <c r="D43" s="508">
        <f>IFERROR(__xludf.DUMMYFUNCTION("IMPORTRANGE(""https://docs.google.com/spreadsheets/d/1VIApWyUAXX6keGlOrJuNMFqZ8R1cEuFOP75KhY1LyTM/edit"", ""Hoja 1!G44"")"),795.0)</f>
        <v>795</v>
      </c>
    </row>
    <row r="44">
      <c r="A44" s="497"/>
      <c r="B44" s="509" t="s">
        <v>594</v>
      </c>
      <c r="C44" s="499">
        <f t="shared" si="1"/>
        <v>715</v>
      </c>
      <c r="D44" s="510">
        <f>IFERROR(__xludf.DUMMYFUNCTION("IMPORTRANGE(""https://docs.google.com/spreadsheets/d/1VIApWyUAXX6keGlOrJuNMFqZ8R1cEuFOP75KhY1LyTM/edit"", ""Hoja 1!G45"")"),815.0)</f>
        <v>815</v>
      </c>
    </row>
    <row r="45">
      <c r="A45" s="501" t="s">
        <v>621</v>
      </c>
      <c r="B45" s="502" t="s">
        <v>594</v>
      </c>
      <c r="C45" s="503">
        <f t="shared" si="1"/>
        <v>755</v>
      </c>
      <c r="D45" s="504">
        <f>IFERROR(__xludf.DUMMYFUNCTION("IMPORTRANGE(""https://docs.google.com/spreadsheets/d/1VIApWyUAXX6keGlOrJuNMFqZ8R1cEuFOP75KhY1LyTM/edit"", ""Hoja 1!G46"")"),855.0)</f>
        <v>855</v>
      </c>
    </row>
    <row r="46">
      <c r="A46" s="497"/>
      <c r="B46" s="505" t="s">
        <v>617</v>
      </c>
      <c r="C46" s="506">
        <f t="shared" si="1"/>
        <v>-125</v>
      </c>
      <c r="D46" s="507">
        <f>IFERROR(__xludf.DUMMYFUNCTION("IMPORTRANGE(""https://docs.google.com/spreadsheets/d/1VIApWyUAXX6keGlOrJuNMFqZ8R1cEuFOP75KhY1LyTM/edit"", ""Hoja 1!G47"")"),-25.0)</f>
        <v>-25</v>
      </c>
    </row>
    <row r="47">
      <c r="C47" s="527"/>
      <c r="D47" s="527"/>
    </row>
    <row r="48">
      <c r="C48" s="527"/>
      <c r="D48" s="527"/>
    </row>
    <row r="49">
      <c r="C49" s="527"/>
      <c r="D49" s="527"/>
    </row>
    <row r="50">
      <c r="C50" s="527"/>
      <c r="D50" s="527"/>
    </row>
    <row r="51">
      <c r="C51" s="527"/>
      <c r="D51" s="527"/>
    </row>
    <row r="52">
      <c r="C52" s="527"/>
      <c r="D52" s="527"/>
    </row>
    <row r="53">
      <c r="C53" s="527"/>
      <c r="D53" s="527"/>
    </row>
    <row r="54">
      <c r="C54" s="527"/>
      <c r="D54" s="527"/>
    </row>
    <row r="55">
      <c r="C55" s="527"/>
      <c r="D55" s="527"/>
    </row>
    <row r="56">
      <c r="C56" s="527"/>
      <c r="D56" s="527"/>
    </row>
    <row r="57">
      <c r="C57" s="527"/>
      <c r="D57" s="527"/>
    </row>
    <row r="58">
      <c r="C58" s="527"/>
      <c r="D58" s="527"/>
    </row>
    <row r="59">
      <c r="C59" s="527"/>
      <c r="D59" s="527"/>
    </row>
    <row r="60">
      <c r="C60" s="527"/>
      <c r="D60" s="527"/>
    </row>
    <row r="61">
      <c r="C61" s="527"/>
      <c r="D61" s="527"/>
    </row>
    <row r="62">
      <c r="C62" s="527"/>
      <c r="D62" s="527"/>
    </row>
    <row r="63">
      <c r="C63" s="527"/>
      <c r="D63" s="527"/>
    </row>
    <row r="64">
      <c r="C64" s="527"/>
      <c r="D64" s="527"/>
    </row>
    <row r="65">
      <c r="C65" s="527"/>
      <c r="D65" s="527"/>
    </row>
    <row r="66">
      <c r="C66" s="527"/>
      <c r="D66" s="527"/>
    </row>
    <row r="67">
      <c r="C67" s="527"/>
      <c r="D67" s="527"/>
    </row>
    <row r="68">
      <c r="C68" s="527"/>
      <c r="D68" s="527"/>
    </row>
    <row r="69">
      <c r="C69" s="527"/>
      <c r="D69" s="527"/>
    </row>
    <row r="70">
      <c r="C70" s="527"/>
      <c r="D70" s="527"/>
    </row>
    <row r="71">
      <c r="C71" s="527"/>
      <c r="D71" s="527"/>
    </row>
    <row r="72">
      <c r="C72" s="527"/>
      <c r="D72" s="527"/>
    </row>
    <row r="73">
      <c r="C73" s="527"/>
      <c r="D73" s="527"/>
    </row>
    <row r="74">
      <c r="C74" s="527"/>
      <c r="D74" s="527"/>
    </row>
    <row r="75">
      <c r="C75" s="527"/>
      <c r="D75" s="527"/>
    </row>
    <row r="76">
      <c r="C76" s="527"/>
      <c r="D76" s="527"/>
    </row>
    <row r="77">
      <c r="C77" s="527"/>
      <c r="D77" s="527"/>
    </row>
    <row r="78">
      <c r="C78" s="527"/>
      <c r="D78" s="527"/>
    </row>
    <row r="79">
      <c r="C79" s="527"/>
      <c r="D79" s="527"/>
    </row>
    <row r="80">
      <c r="C80" s="527"/>
      <c r="D80" s="527"/>
    </row>
    <row r="81">
      <c r="C81" s="527"/>
      <c r="D81" s="527"/>
    </row>
    <row r="82">
      <c r="C82" s="527"/>
      <c r="D82" s="527"/>
    </row>
    <row r="83">
      <c r="C83" s="527"/>
      <c r="D83" s="527"/>
    </row>
    <row r="84">
      <c r="C84" s="527"/>
      <c r="D84" s="527"/>
    </row>
    <row r="85">
      <c r="C85" s="527"/>
      <c r="D85" s="527"/>
    </row>
    <row r="86">
      <c r="C86" s="527"/>
      <c r="D86" s="527"/>
    </row>
    <row r="87">
      <c r="C87" s="527"/>
      <c r="D87" s="527"/>
    </row>
    <row r="88">
      <c r="C88" s="527"/>
      <c r="D88" s="527"/>
    </row>
    <row r="89">
      <c r="C89" s="527"/>
      <c r="D89" s="527"/>
    </row>
    <row r="90">
      <c r="C90" s="527"/>
      <c r="D90" s="527"/>
    </row>
    <row r="91">
      <c r="C91" s="527"/>
      <c r="D91" s="527"/>
    </row>
    <row r="92">
      <c r="C92" s="527"/>
      <c r="D92" s="527"/>
    </row>
    <row r="93">
      <c r="C93" s="527"/>
      <c r="D93" s="527"/>
    </row>
    <row r="94">
      <c r="C94" s="527"/>
      <c r="D94" s="527"/>
    </row>
    <row r="95">
      <c r="C95" s="527"/>
      <c r="D95" s="527"/>
    </row>
    <row r="96">
      <c r="C96" s="527"/>
      <c r="D96" s="527"/>
    </row>
    <row r="97">
      <c r="C97" s="527"/>
      <c r="D97" s="527"/>
    </row>
    <row r="98">
      <c r="C98" s="527"/>
      <c r="D98" s="527"/>
    </row>
    <row r="99">
      <c r="C99" s="527"/>
      <c r="D99" s="527"/>
    </row>
    <row r="100">
      <c r="C100" s="527"/>
      <c r="D100" s="527"/>
    </row>
    <row r="101">
      <c r="C101" s="527"/>
      <c r="D101" s="527"/>
    </row>
    <row r="102">
      <c r="C102" s="527"/>
      <c r="D102" s="527"/>
    </row>
    <row r="103">
      <c r="C103" s="527"/>
      <c r="D103" s="527"/>
    </row>
    <row r="104">
      <c r="C104" s="527"/>
      <c r="D104" s="527"/>
    </row>
    <row r="105">
      <c r="C105" s="527"/>
      <c r="D105" s="527"/>
    </row>
    <row r="106">
      <c r="C106" s="527"/>
      <c r="D106" s="527"/>
    </row>
    <row r="107">
      <c r="C107" s="527"/>
      <c r="D107" s="527"/>
    </row>
    <row r="108">
      <c r="C108" s="527"/>
      <c r="D108" s="527"/>
    </row>
    <row r="109">
      <c r="C109" s="527"/>
      <c r="D109" s="527"/>
    </row>
    <row r="110">
      <c r="C110" s="527"/>
      <c r="D110" s="527"/>
    </row>
    <row r="111">
      <c r="C111" s="527"/>
      <c r="D111" s="527"/>
    </row>
    <row r="112">
      <c r="C112" s="527"/>
      <c r="D112" s="527"/>
    </row>
    <row r="113">
      <c r="C113" s="527"/>
      <c r="D113" s="527"/>
    </row>
    <row r="114">
      <c r="C114" s="527"/>
      <c r="D114" s="527"/>
    </row>
    <row r="115">
      <c r="C115" s="527"/>
      <c r="D115" s="527"/>
    </row>
    <row r="116">
      <c r="C116" s="527"/>
      <c r="D116" s="527"/>
    </row>
    <row r="117">
      <c r="C117" s="527"/>
      <c r="D117" s="527"/>
    </row>
    <row r="118">
      <c r="C118" s="527"/>
      <c r="D118" s="527"/>
    </row>
    <row r="119">
      <c r="C119" s="527"/>
      <c r="D119" s="527"/>
    </row>
    <row r="120">
      <c r="C120" s="527"/>
      <c r="D120" s="527"/>
    </row>
    <row r="121">
      <c r="C121" s="527"/>
      <c r="D121" s="527"/>
    </row>
    <row r="122">
      <c r="C122" s="527"/>
      <c r="D122" s="527"/>
    </row>
    <row r="123">
      <c r="C123" s="527"/>
      <c r="D123" s="527"/>
    </row>
    <row r="124">
      <c r="C124" s="527"/>
      <c r="D124" s="527"/>
    </row>
    <row r="125">
      <c r="C125" s="527"/>
      <c r="D125" s="527"/>
    </row>
    <row r="126">
      <c r="C126" s="527"/>
      <c r="D126" s="527"/>
    </row>
    <row r="127">
      <c r="C127" s="527"/>
      <c r="D127" s="527"/>
    </row>
    <row r="128">
      <c r="C128" s="527"/>
      <c r="D128" s="527"/>
    </row>
    <row r="129">
      <c r="C129" s="527"/>
      <c r="D129" s="527"/>
    </row>
    <row r="130">
      <c r="C130" s="527"/>
      <c r="D130" s="527"/>
    </row>
    <row r="131">
      <c r="C131" s="527"/>
      <c r="D131" s="527"/>
    </row>
    <row r="132">
      <c r="C132" s="527"/>
      <c r="D132" s="527"/>
    </row>
    <row r="133">
      <c r="C133" s="527"/>
      <c r="D133" s="527"/>
    </row>
    <row r="134">
      <c r="C134" s="527"/>
      <c r="D134" s="527"/>
    </row>
    <row r="135">
      <c r="C135" s="527"/>
      <c r="D135" s="527"/>
    </row>
    <row r="136">
      <c r="C136" s="527"/>
      <c r="D136" s="527"/>
    </row>
    <row r="137">
      <c r="C137" s="527"/>
      <c r="D137" s="527"/>
    </row>
    <row r="138">
      <c r="C138" s="527"/>
      <c r="D138" s="527"/>
    </row>
    <row r="139">
      <c r="C139" s="527"/>
      <c r="D139" s="527"/>
    </row>
    <row r="140">
      <c r="C140" s="527"/>
      <c r="D140" s="527"/>
    </row>
    <row r="141">
      <c r="C141" s="527"/>
      <c r="D141" s="527"/>
    </row>
    <row r="142">
      <c r="C142" s="527"/>
      <c r="D142" s="527"/>
    </row>
    <row r="143">
      <c r="C143" s="527"/>
      <c r="D143" s="527"/>
    </row>
    <row r="144">
      <c r="C144" s="527"/>
      <c r="D144" s="527"/>
    </row>
    <row r="145">
      <c r="C145" s="527"/>
      <c r="D145" s="527"/>
    </row>
    <row r="146">
      <c r="C146" s="527"/>
      <c r="D146" s="527"/>
    </row>
    <row r="147">
      <c r="C147" s="527"/>
      <c r="D147" s="527"/>
    </row>
    <row r="148">
      <c r="C148" s="527"/>
      <c r="D148" s="527"/>
    </row>
    <row r="149">
      <c r="C149" s="527"/>
      <c r="D149" s="527"/>
    </row>
    <row r="150">
      <c r="C150" s="527"/>
      <c r="D150" s="527"/>
    </row>
    <row r="151">
      <c r="C151" s="527"/>
      <c r="D151" s="527"/>
    </row>
    <row r="152">
      <c r="C152" s="527"/>
      <c r="D152" s="527"/>
    </row>
    <row r="153">
      <c r="C153" s="527"/>
      <c r="D153" s="527"/>
    </row>
    <row r="154">
      <c r="C154" s="527"/>
      <c r="D154" s="527"/>
    </row>
    <row r="155">
      <c r="C155" s="527"/>
      <c r="D155" s="527"/>
    </row>
    <row r="156">
      <c r="C156" s="527"/>
      <c r="D156" s="527"/>
    </row>
    <row r="157">
      <c r="C157" s="527"/>
      <c r="D157" s="527"/>
    </row>
    <row r="158">
      <c r="C158" s="527"/>
      <c r="D158" s="527"/>
    </row>
    <row r="159">
      <c r="C159" s="527"/>
      <c r="D159" s="527"/>
    </row>
    <row r="160">
      <c r="C160" s="527"/>
      <c r="D160" s="527"/>
    </row>
    <row r="161">
      <c r="C161" s="527"/>
      <c r="D161" s="527"/>
    </row>
    <row r="162">
      <c r="C162" s="527"/>
      <c r="D162" s="527"/>
    </row>
    <row r="163">
      <c r="C163" s="527"/>
      <c r="D163" s="527"/>
    </row>
    <row r="164">
      <c r="C164" s="527"/>
      <c r="D164" s="527"/>
    </row>
    <row r="165">
      <c r="C165" s="527"/>
      <c r="D165" s="527"/>
    </row>
    <row r="166">
      <c r="C166" s="527"/>
      <c r="D166" s="527"/>
    </row>
    <row r="167">
      <c r="C167" s="527"/>
      <c r="D167" s="527"/>
    </row>
    <row r="168">
      <c r="C168" s="527"/>
      <c r="D168" s="527"/>
    </row>
    <row r="169">
      <c r="C169" s="527"/>
      <c r="D169" s="527"/>
    </row>
    <row r="170">
      <c r="C170" s="527"/>
      <c r="D170" s="527"/>
    </row>
    <row r="171">
      <c r="C171" s="527"/>
      <c r="D171" s="527"/>
    </row>
    <row r="172">
      <c r="C172" s="527"/>
      <c r="D172" s="527"/>
    </row>
    <row r="173">
      <c r="C173" s="527"/>
      <c r="D173" s="527"/>
    </row>
    <row r="174">
      <c r="C174" s="527"/>
      <c r="D174" s="527"/>
    </row>
    <row r="175">
      <c r="C175" s="527"/>
      <c r="D175" s="527"/>
    </row>
    <row r="176">
      <c r="C176" s="527"/>
      <c r="D176" s="527"/>
    </row>
    <row r="177">
      <c r="C177" s="527"/>
      <c r="D177" s="527"/>
    </row>
    <row r="178">
      <c r="C178" s="527"/>
      <c r="D178" s="527"/>
    </row>
    <row r="179">
      <c r="C179" s="527"/>
      <c r="D179" s="527"/>
    </row>
    <row r="180">
      <c r="C180" s="527"/>
      <c r="D180" s="527"/>
    </row>
    <row r="181">
      <c r="C181" s="527"/>
      <c r="D181" s="527"/>
    </row>
    <row r="182">
      <c r="C182" s="527"/>
      <c r="D182" s="527"/>
    </row>
    <row r="183">
      <c r="C183" s="527"/>
      <c r="D183" s="527"/>
    </row>
    <row r="184">
      <c r="C184" s="527"/>
      <c r="D184" s="527"/>
    </row>
    <row r="185">
      <c r="C185" s="527"/>
      <c r="D185" s="527"/>
    </row>
    <row r="186">
      <c r="C186" s="527"/>
      <c r="D186" s="527"/>
    </row>
    <row r="187">
      <c r="C187" s="527"/>
      <c r="D187" s="527"/>
    </row>
    <row r="188">
      <c r="C188" s="527"/>
      <c r="D188" s="527"/>
    </row>
    <row r="189">
      <c r="C189" s="527"/>
      <c r="D189" s="527"/>
    </row>
    <row r="190">
      <c r="C190" s="527"/>
      <c r="D190" s="527"/>
    </row>
    <row r="191">
      <c r="C191" s="527"/>
      <c r="D191" s="527"/>
    </row>
    <row r="192">
      <c r="C192" s="527"/>
      <c r="D192" s="527"/>
    </row>
    <row r="193">
      <c r="C193" s="527"/>
      <c r="D193" s="527"/>
    </row>
    <row r="194">
      <c r="C194" s="527"/>
      <c r="D194" s="527"/>
    </row>
    <row r="195">
      <c r="C195" s="527"/>
      <c r="D195" s="527"/>
    </row>
    <row r="196">
      <c r="C196" s="527"/>
      <c r="D196" s="527"/>
    </row>
    <row r="197">
      <c r="C197" s="527"/>
      <c r="D197" s="527"/>
    </row>
    <row r="198">
      <c r="C198" s="527"/>
      <c r="D198" s="527"/>
    </row>
    <row r="199">
      <c r="C199" s="527"/>
      <c r="D199" s="527"/>
    </row>
    <row r="200">
      <c r="C200" s="527"/>
      <c r="D200" s="527"/>
    </row>
    <row r="201">
      <c r="C201" s="527"/>
      <c r="D201" s="527"/>
    </row>
    <row r="202">
      <c r="C202" s="527"/>
      <c r="D202" s="527"/>
    </row>
    <row r="203">
      <c r="C203" s="527"/>
      <c r="D203" s="527"/>
    </row>
    <row r="204">
      <c r="C204" s="527"/>
      <c r="D204" s="527"/>
    </row>
    <row r="205">
      <c r="C205" s="527"/>
      <c r="D205" s="527"/>
    </row>
    <row r="206">
      <c r="C206" s="527"/>
      <c r="D206" s="527"/>
    </row>
    <row r="207">
      <c r="C207" s="527"/>
      <c r="D207" s="527"/>
    </row>
    <row r="208">
      <c r="C208" s="527"/>
      <c r="D208" s="527"/>
    </row>
    <row r="209">
      <c r="C209" s="527"/>
      <c r="D209" s="527"/>
    </row>
    <row r="210">
      <c r="C210" s="527"/>
      <c r="D210" s="527"/>
    </row>
    <row r="211">
      <c r="C211" s="527"/>
      <c r="D211" s="527"/>
    </row>
    <row r="212">
      <c r="C212" s="527"/>
      <c r="D212" s="527"/>
    </row>
    <row r="213">
      <c r="C213" s="527"/>
      <c r="D213" s="527"/>
    </row>
    <row r="214">
      <c r="C214" s="527"/>
      <c r="D214" s="527"/>
    </row>
    <row r="215">
      <c r="C215" s="527"/>
      <c r="D215" s="527"/>
    </row>
    <row r="216">
      <c r="C216" s="527"/>
      <c r="D216" s="527"/>
    </row>
    <row r="217">
      <c r="C217" s="527"/>
      <c r="D217" s="527"/>
    </row>
    <row r="218">
      <c r="C218" s="527"/>
      <c r="D218" s="527"/>
    </row>
    <row r="219">
      <c r="C219" s="527"/>
      <c r="D219" s="527"/>
    </row>
    <row r="220">
      <c r="C220" s="527"/>
      <c r="D220" s="527"/>
    </row>
    <row r="221">
      <c r="C221" s="527"/>
      <c r="D221" s="527"/>
    </row>
    <row r="222">
      <c r="C222" s="527"/>
      <c r="D222" s="527"/>
    </row>
    <row r="223">
      <c r="C223" s="527"/>
      <c r="D223" s="527"/>
    </row>
    <row r="224">
      <c r="C224" s="527"/>
      <c r="D224" s="527"/>
    </row>
    <row r="225">
      <c r="C225" s="527"/>
      <c r="D225" s="527"/>
    </row>
    <row r="226">
      <c r="C226" s="527"/>
      <c r="D226" s="527"/>
    </row>
    <row r="227">
      <c r="C227" s="527"/>
      <c r="D227" s="527"/>
    </row>
    <row r="228">
      <c r="C228" s="527"/>
      <c r="D228" s="527"/>
    </row>
    <row r="229">
      <c r="C229" s="527"/>
      <c r="D229" s="527"/>
    </row>
    <row r="230">
      <c r="C230" s="527"/>
      <c r="D230" s="527"/>
    </row>
    <row r="231">
      <c r="C231" s="527"/>
      <c r="D231" s="527"/>
    </row>
    <row r="232">
      <c r="C232" s="527"/>
      <c r="D232" s="527"/>
    </row>
    <row r="233">
      <c r="C233" s="527"/>
      <c r="D233" s="527"/>
    </row>
    <row r="234">
      <c r="C234" s="527"/>
      <c r="D234" s="527"/>
    </row>
    <row r="235">
      <c r="C235" s="527"/>
      <c r="D235" s="527"/>
    </row>
    <row r="236">
      <c r="C236" s="527"/>
      <c r="D236" s="527"/>
    </row>
    <row r="237">
      <c r="C237" s="527"/>
      <c r="D237" s="527"/>
    </row>
    <row r="238">
      <c r="C238" s="527"/>
      <c r="D238" s="527"/>
    </row>
    <row r="239">
      <c r="C239" s="527"/>
      <c r="D239" s="527"/>
    </row>
    <row r="240">
      <c r="C240" s="527"/>
      <c r="D240" s="527"/>
    </row>
    <row r="241">
      <c r="C241" s="527"/>
      <c r="D241" s="527"/>
    </row>
    <row r="242">
      <c r="C242" s="527"/>
      <c r="D242" s="527"/>
    </row>
    <row r="243">
      <c r="C243" s="527"/>
      <c r="D243" s="527"/>
    </row>
    <row r="244">
      <c r="C244" s="527"/>
      <c r="D244" s="527"/>
    </row>
    <row r="245">
      <c r="C245" s="527"/>
      <c r="D245" s="527"/>
    </row>
    <row r="246">
      <c r="C246" s="527"/>
      <c r="D246" s="527"/>
    </row>
    <row r="247">
      <c r="C247" s="527"/>
      <c r="D247" s="527"/>
    </row>
    <row r="248">
      <c r="C248" s="527"/>
      <c r="D248" s="527"/>
    </row>
    <row r="249">
      <c r="C249" s="527"/>
      <c r="D249" s="527"/>
    </row>
    <row r="250">
      <c r="C250" s="527"/>
      <c r="D250" s="527"/>
    </row>
    <row r="251">
      <c r="C251" s="527"/>
      <c r="D251" s="527"/>
    </row>
    <row r="252">
      <c r="C252" s="527"/>
      <c r="D252" s="527"/>
    </row>
    <row r="253">
      <c r="C253" s="527"/>
      <c r="D253" s="527"/>
    </row>
    <row r="254">
      <c r="C254" s="527"/>
      <c r="D254" s="527"/>
    </row>
    <row r="255">
      <c r="C255" s="527"/>
      <c r="D255" s="527"/>
    </row>
    <row r="256">
      <c r="C256" s="527"/>
      <c r="D256" s="527"/>
    </row>
    <row r="257">
      <c r="C257" s="527"/>
      <c r="D257" s="527"/>
    </row>
    <row r="258">
      <c r="C258" s="527"/>
      <c r="D258" s="527"/>
    </row>
    <row r="259">
      <c r="C259" s="527"/>
      <c r="D259" s="527"/>
    </row>
    <row r="260">
      <c r="C260" s="527"/>
      <c r="D260" s="527"/>
    </row>
    <row r="261">
      <c r="C261" s="527"/>
      <c r="D261" s="527"/>
    </row>
    <row r="262">
      <c r="C262" s="527"/>
      <c r="D262" s="527"/>
    </row>
    <row r="263">
      <c r="C263" s="527"/>
      <c r="D263" s="527"/>
    </row>
    <row r="264">
      <c r="C264" s="527"/>
      <c r="D264" s="527"/>
    </row>
    <row r="265">
      <c r="C265" s="527"/>
      <c r="D265" s="527"/>
    </row>
    <row r="266">
      <c r="C266" s="527"/>
      <c r="D266" s="527"/>
    </row>
    <row r="267">
      <c r="C267" s="527"/>
      <c r="D267" s="527"/>
    </row>
    <row r="268">
      <c r="C268" s="527"/>
      <c r="D268" s="527"/>
    </row>
    <row r="269">
      <c r="C269" s="527"/>
      <c r="D269" s="527"/>
    </row>
    <row r="270">
      <c r="C270" s="527"/>
      <c r="D270" s="527"/>
    </row>
    <row r="271">
      <c r="C271" s="527"/>
      <c r="D271" s="527"/>
    </row>
    <row r="272">
      <c r="C272" s="527"/>
      <c r="D272" s="527"/>
    </row>
    <row r="273">
      <c r="C273" s="527"/>
      <c r="D273" s="527"/>
    </row>
    <row r="274">
      <c r="C274" s="527"/>
      <c r="D274" s="527"/>
    </row>
    <row r="275">
      <c r="C275" s="527"/>
      <c r="D275" s="527"/>
    </row>
    <row r="276">
      <c r="C276" s="527"/>
      <c r="D276" s="527"/>
    </row>
    <row r="277">
      <c r="C277" s="527"/>
      <c r="D277" s="527"/>
    </row>
    <row r="278">
      <c r="C278" s="527"/>
      <c r="D278" s="527"/>
    </row>
    <row r="279">
      <c r="C279" s="527"/>
      <c r="D279" s="527"/>
    </row>
    <row r="280">
      <c r="C280" s="527"/>
      <c r="D280" s="527"/>
    </row>
    <row r="281">
      <c r="C281" s="527"/>
      <c r="D281" s="527"/>
    </row>
    <row r="282">
      <c r="C282" s="527"/>
      <c r="D282" s="527"/>
    </row>
    <row r="283">
      <c r="C283" s="527"/>
      <c r="D283" s="527"/>
    </row>
    <row r="284">
      <c r="C284" s="527"/>
      <c r="D284" s="527"/>
    </row>
    <row r="285">
      <c r="C285" s="527"/>
      <c r="D285" s="527"/>
    </row>
    <row r="286">
      <c r="C286" s="527"/>
      <c r="D286" s="527"/>
    </row>
    <row r="287">
      <c r="C287" s="527"/>
      <c r="D287" s="527"/>
    </row>
    <row r="288">
      <c r="C288" s="527"/>
      <c r="D288" s="527"/>
    </row>
    <row r="289">
      <c r="C289" s="527"/>
      <c r="D289" s="527"/>
    </row>
    <row r="290">
      <c r="C290" s="527"/>
      <c r="D290" s="527"/>
    </row>
    <row r="291">
      <c r="C291" s="527"/>
      <c r="D291" s="527"/>
    </row>
    <row r="292">
      <c r="C292" s="527"/>
      <c r="D292" s="527"/>
    </row>
    <row r="293">
      <c r="C293" s="527"/>
      <c r="D293" s="527"/>
    </row>
    <row r="294">
      <c r="C294" s="527"/>
      <c r="D294" s="527"/>
    </row>
    <row r="295">
      <c r="C295" s="527"/>
      <c r="D295" s="527"/>
    </row>
    <row r="296">
      <c r="C296" s="527"/>
      <c r="D296" s="527"/>
    </row>
    <row r="297">
      <c r="C297" s="527"/>
      <c r="D297" s="527"/>
    </row>
    <row r="298">
      <c r="C298" s="527"/>
      <c r="D298" s="527"/>
    </row>
    <row r="299">
      <c r="C299" s="527"/>
      <c r="D299" s="527"/>
    </row>
    <row r="300">
      <c r="C300" s="527"/>
      <c r="D300" s="527"/>
    </row>
    <row r="301">
      <c r="C301" s="527"/>
      <c r="D301" s="527"/>
    </row>
    <row r="302">
      <c r="C302" s="527"/>
      <c r="D302" s="527"/>
    </row>
    <row r="303">
      <c r="C303" s="527"/>
      <c r="D303" s="527"/>
    </row>
    <row r="304">
      <c r="C304" s="527"/>
      <c r="D304" s="527"/>
    </row>
    <row r="305">
      <c r="C305" s="527"/>
      <c r="D305" s="527"/>
    </row>
    <row r="306">
      <c r="C306" s="527"/>
      <c r="D306" s="527"/>
    </row>
    <row r="307">
      <c r="C307" s="527"/>
      <c r="D307" s="527"/>
    </row>
    <row r="308">
      <c r="C308" s="527"/>
      <c r="D308" s="527"/>
    </row>
    <row r="309">
      <c r="C309" s="527"/>
      <c r="D309" s="527"/>
    </row>
    <row r="310">
      <c r="C310" s="527"/>
      <c r="D310" s="527"/>
    </row>
    <row r="311">
      <c r="C311" s="527"/>
      <c r="D311" s="527"/>
    </row>
    <row r="312">
      <c r="C312" s="527"/>
      <c r="D312" s="527"/>
    </row>
    <row r="313">
      <c r="C313" s="527"/>
      <c r="D313" s="527"/>
    </row>
    <row r="314">
      <c r="C314" s="527"/>
      <c r="D314" s="527"/>
    </row>
    <row r="315">
      <c r="C315" s="527"/>
      <c r="D315" s="527"/>
    </row>
    <row r="316">
      <c r="C316" s="527"/>
      <c r="D316" s="527"/>
    </row>
    <row r="317">
      <c r="C317" s="527"/>
      <c r="D317" s="527"/>
    </row>
    <row r="318">
      <c r="C318" s="527"/>
      <c r="D318" s="527"/>
    </row>
    <row r="319">
      <c r="C319" s="527"/>
      <c r="D319" s="527"/>
    </row>
    <row r="320">
      <c r="C320" s="527"/>
      <c r="D320" s="527"/>
    </row>
    <row r="321">
      <c r="C321" s="527"/>
      <c r="D321" s="527"/>
    </row>
    <row r="322">
      <c r="C322" s="527"/>
      <c r="D322" s="527"/>
    </row>
    <row r="323">
      <c r="C323" s="527"/>
      <c r="D323" s="527"/>
    </row>
    <row r="324">
      <c r="C324" s="527"/>
      <c r="D324" s="527"/>
    </row>
    <row r="325">
      <c r="C325" s="527"/>
      <c r="D325" s="527"/>
    </row>
    <row r="326">
      <c r="C326" s="527"/>
      <c r="D326" s="527"/>
    </row>
    <row r="327">
      <c r="C327" s="527"/>
      <c r="D327" s="527"/>
    </row>
    <row r="328">
      <c r="C328" s="527"/>
      <c r="D328" s="527"/>
    </row>
    <row r="329">
      <c r="C329" s="527"/>
      <c r="D329" s="527"/>
    </row>
    <row r="330">
      <c r="C330" s="527"/>
      <c r="D330" s="527"/>
    </row>
    <row r="331">
      <c r="C331" s="527"/>
      <c r="D331" s="527"/>
    </row>
    <row r="332">
      <c r="C332" s="527"/>
      <c r="D332" s="527"/>
    </row>
    <row r="333">
      <c r="C333" s="527"/>
      <c r="D333" s="527"/>
    </row>
    <row r="334">
      <c r="C334" s="527"/>
      <c r="D334" s="527"/>
    </row>
    <row r="335">
      <c r="C335" s="527"/>
      <c r="D335" s="527"/>
    </row>
    <row r="336">
      <c r="C336" s="527"/>
      <c r="D336" s="527"/>
    </row>
    <row r="337">
      <c r="C337" s="527"/>
      <c r="D337" s="527"/>
    </row>
    <row r="338">
      <c r="C338" s="527"/>
      <c r="D338" s="527"/>
    </row>
    <row r="339">
      <c r="C339" s="527"/>
      <c r="D339" s="527"/>
    </row>
    <row r="340">
      <c r="C340" s="527"/>
      <c r="D340" s="527"/>
    </row>
    <row r="341">
      <c r="C341" s="527"/>
      <c r="D341" s="527"/>
    </row>
    <row r="342">
      <c r="C342" s="527"/>
      <c r="D342" s="527"/>
    </row>
    <row r="343">
      <c r="C343" s="527"/>
      <c r="D343" s="527"/>
    </row>
    <row r="344">
      <c r="C344" s="527"/>
      <c r="D344" s="527"/>
    </row>
    <row r="345">
      <c r="C345" s="527"/>
      <c r="D345" s="527"/>
    </row>
    <row r="346">
      <c r="C346" s="527"/>
      <c r="D346" s="527"/>
    </row>
    <row r="347">
      <c r="C347" s="527"/>
      <c r="D347" s="527"/>
    </row>
    <row r="348">
      <c r="C348" s="527"/>
      <c r="D348" s="527"/>
    </row>
    <row r="349">
      <c r="C349" s="527"/>
      <c r="D349" s="527"/>
    </row>
    <row r="350">
      <c r="C350" s="527"/>
      <c r="D350" s="527"/>
    </row>
    <row r="351">
      <c r="C351" s="527"/>
      <c r="D351" s="527"/>
    </row>
    <row r="352">
      <c r="C352" s="527"/>
      <c r="D352" s="527"/>
    </row>
    <row r="353">
      <c r="C353" s="527"/>
      <c r="D353" s="527"/>
    </row>
    <row r="354">
      <c r="C354" s="527"/>
      <c r="D354" s="527"/>
    </row>
    <row r="355">
      <c r="C355" s="527"/>
      <c r="D355" s="527"/>
    </row>
    <row r="356">
      <c r="C356" s="527"/>
      <c r="D356" s="527"/>
    </row>
    <row r="357">
      <c r="C357" s="527"/>
      <c r="D357" s="527"/>
    </row>
    <row r="358">
      <c r="C358" s="527"/>
      <c r="D358" s="527"/>
    </row>
    <row r="359">
      <c r="C359" s="527"/>
      <c r="D359" s="527"/>
    </row>
    <row r="360">
      <c r="C360" s="527"/>
      <c r="D360" s="527"/>
    </row>
    <row r="361">
      <c r="C361" s="527"/>
      <c r="D361" s="527"/>
    </row>
    <row r="362">
      <c r="C362" s="527"/>
      <c r="D362" s="527"/>
    </row>
    <row r="363">
      <c r="C363" s="527"/>
      <c r="D363" s="527"/>
    </row>
    <row r="364">
      <c r="C364" s="527"/>
      <c r="D364" s="527"/>
    </row>
    <row r="365">
      <c r="C365" s="527"/>
      <c r="D365" s="527"/>
    </row>
    <row r="366">
      <c r="C366" s="527"/>
      <c r="D366" s="527"/>
    </row>
    <row r="367">
      <c r="C367" s="527"/>
      <c r="D367" s="527"/>
    </row>
    <row r="368">
      <c r="C368" s="527"/>
      <c r="D368" s="527"/>
    </row>
    <row r="369">
      <c r="C369" s="527"/>
      <c r="D369" s="527"/>
    </row>
    <row r="370">
      <c r="C370" s="527"/>
      <c r="D370" s="527"/>
    </row>
    <row r="371">
      <c r="C371" s="527"/>
      <c r="D371" s="527"/>
    </row>
    <row r="372">
      <c r="C372" s="527"/>
      <c r="D372" s="527"/>
    </row>
    <row r="373">
      <c r="C373" s="527"/>
      <c r="D373" s="527"/>
    </row>
    <row r="374">
      <c r="C374" s="527"/>
      <c r="D374" s="527"/>
    </row>
    <row r="375">
      <c r="C375" s="527"/>
      <c r="D375" s="527"/>
    </row>
    <row r="376">
      <c r="C376" s="527"/>
      <c r="D376" s="527"/>
    </row>
    <row r="377">
      <c r="C377" s="527"/>
      <c r="D377" s="527"/>
    </row>
    <row r="378">
      <c r="C378" s="527"/>
      <c r="D378" s="527"/>
    </row>
    <row r="379">
      <c r="C379" s="527"/>
      <c r="D379" s="527"/>
    </row>
    <row r="380">
      <c r="C380" s="527"/>
      <c r="D380" s="527"/>
    </row>
    <row r="381">
      <c r="C381" s="527"/>
      <c r="D381" s="527"/>
    </row>
    <row r="382">
      <c r="C382" s="527"/>
      <c r="D382" s="527"/>
    </row>
    <row r="383">
      <c r="C383" s="527"/>
      <c r="D383" s="527"/>
    </row>
    <row r="384">
      <c r="C384" s="527"/>
      <c r="D384" s="527"/>
    </row>
    <row r="385">
      <c r="C385" s="527"/>
      <c r="D385" s="527"/>
    </row>
    <row r="386">
      <c r="C386" s="527"/>
      <c r="D386" s="527"/>
    </row>
    <row r="387">
      <c r="C387" s="527"/>
      <c r="D387" s="527"/>
    </row>
    <row r="388">
      <c r="C388" s="527"/>
      <c r="D388" s="527"/>
    </row>
    <row r="389">
      <c r="C389" s="527"/>
      <c r="D389" s="527"/>
    </row>
    <row r="390">
      <c r="C390" s="527"/>
      <c r="D390" s="527"/>
    </row>
    <row r="391">
      <c r="C391" s="527"/>
      <c r="D391" s="527"/>
    </row>
    <row r="392">
      <c r="C392" s="527"/>
      <c r="D392" s="527"/>
    </row>
    <row r="393">
      <c r="C393" s="527"/>
      <c r="D393" s="527"/>
    </row>
    <row r="394">
      <c r="C394" s="527"/>
      <c r="D394" s="527"/>
    </row>
    <row r="395">
      <c r="C395" s="527"/>
      <c r="D395" s="527"/>
    </row>
    <row r="396">
      <c r="C396" s="527"/>
      <c r="D396" s="527"/>
    </row>
    <row r="397">
      <c r="C397" s="527"/>
      <c r="D397" s="527"/>
    </row>
    <row r="398">
      <c r="C398" s="527"/>
      <c r="D398" s="527"/>
    </row>
    <row r="399">
      <c r="C399" s="527"/>
      <c r="D399" s="527"/>
    </row>
    <row r="400">
      <c r="C400" s="527"/>
      <c r="D400" s="527"/>
    </row>
    <row r="401">
      <c r="C401" s="527"/>
      <c r="D401" s="527"/>
    </row>
    <row r="402">
      <c r="C402" s="527"/>
      <c r="D402" s="527"/>
    </row>
    <row r="403">
      <c r="C403" s="527"/>
      <c r="D403" s="527"/>
    </row>
    <row r="404">
      <c r="C404" s="527"/>
      <c r="D404" s="527"/>
    </row>
    <row r="405">
      <c r="C405" s="527"/>
      <c r="D405" s="527"/>
    </row>
    <row r="406">
      <c r="C406" s="527"/>
      <c r="D406" s="527"/>
    </row>
    <row r="407">
      <c r="C407" s="527"/>
      <c r="D407" s="527"/>
    </row>
    <row r="408">
      <c r="C408" s="527"/>
      <c r="D408" s="527"/>
    </row>
    <row r="409">
      <c r="C409" s="527"/>
      <c r="D409" s="527"/>
    </row>
    <row r="410">
      <c r="C410" s="527"/>
      <c r="D410" s="527"/>
    </row>
    <row r="411">
      <c r="C411" s="527"/>
      <c r="D411" s="527"/>
    </row>
    <row r="412">
      <c r="C412" s="527"/>
      <c r="D412" s="527"/>
    </row>
    <row r="413">
      <c r="C413" s="527"/>
      <c r="D413" s="527"/>
    </row>
    <row r="414">
      <c r="C414" s="527"/>
      <c r="D414" s="527"/>
    </row>
    <row r="415">
      <c r="C415" s="527"/>
      <c r="D415" s="527"/>
    </row>
    <row r="416">
      <c r="C416" s="527"/>
      <c r="D416" s="527"/>
    </row>
    <row r="417">
      <c r="C417" s="527"/>
      <c r="D417" s="527"/>
    </row>
    <row r="418">
      <c r="C418" s="527"/>
      <c r="D418" s="527"/>
    </row>
    <row r="419">
      <c r="C419" s="527"/>
      <c r="D419" s="527"/>
    </row>
    <row r="420">
      <c r="C420" s="527"/>
      <c r="D420" s="527"/>
    </row>
    <row r="421">
      <c r="C421" s="527"/>
      <c r="D421" s="527"/>
    </row>
    <row r="422">
      <c r="C422" s="527"/>
      <c r="D422" s="527"/>
    </row>
    <row r="423">
      <c r="C423" s="527"/>
      <c r="D423" s="527"/>
    </row>
    <row r="424">
      <c r="C424" s="527"/>
      <c r="D424" s="527"/>
    </row>
    <row r="425">
      <c r="C425" s="527"/>
      <c r="D425" s="527"/>
    </row>
    <row r="426">
      <c r="C426" s="527"/>
      <c r="D426" s="527"/>
    </row>
    <row r="427">
      <c r="C427" s="527"/>
      <c r="D427" s="527"/>
    </row>
    <row r="428">
      <c r="C428" s="527"/>
      <c r="D428" s="527"/>
    </row>
    <row r="429">
      <c r="C429" s="527"/>
      <c r="D429" s="527"/>
    </row>
    <row r="430">
      <c r="C430" s="527"/>
      <c r="D430" s="527"/>
    </row>
    <row r="431">
      <c r="C431" s="527"/>
      <c r="D431" s="527"/>
    </row>
    <row r="432">
      <c r="C432" s="527"/>
      <c r="D432" s="527"/>
    </row>
    <row r="433">
      <c r="C433" s="527"/>
      <c r="D433" s="527"/>
    </row>
    <row r="434">
      <c r="C434" s="527"/>
      <c r="D434" s="527"/>
    </row>
    <row r="435">
      <c r="C435" s="527"/>
      <c r="D435" s="527"/>
    </row>
    <row r="436">
      <c r="C436" s="527"/>
      <c r="D436" s="527"/>
    </row>
    <row r="437">
      <c r="C437" s="527"/>
      <c r="D437" s="527"/>
    </row>
    <row r="438">
      <c r="C438" s="527"/>
      <c r="D438" s="527"/>
    </row>
    <row r="439">
      <c r="C439" s="527"/>
      <c r="D439" s="527"/>
    </row>
    <row r="440">
      <c r="C440" s="527"/>
      <c r="D440" s="527"/>
    </row>
    <row r="441">
      <c r="C441" s="527"/>
      <c r="D441" s="527"/>
    </row>
    <row r="442">
      <c r="C442" s="527"/>
      <c r="D442" s="527"/>
    </row>
    <row r="443">
      <c r="C443" s="527"/>
      <c r="D443" s="527"/>
    </row>
    <row r="444">
      <c r="C444" s="527"/>
      <c r="D444" s="527"/>
    </row>
    <row r="445">
      <c r="C445" s="527"/>
      <c r="D445" s="527"/>
    </row>
    <row r="446">
      <c r="C446" s="527"/>
      <c r="D446" s="527"/>
    </row>
    <row r="447">
      <c r="C447" s="527"/>
      <c r="D447" s="527"/>
    </row>
    <row r="448">
      <c r="C448" s="527"/>
      <c r="D448" s="527"/>
    </row>
    <row r="449">
      <c r="C449" s="527"/>
      <c r="D449" s="527"/>
    </row>
    <row r="450">
      <c r="C450" s="527"/>
      <c r="D450" s="527"/>
    </row>
    <row r="451">
      <c r="C451" s="527"/>
      <c r="D451" s="527"/>
    </row>
    <row r="452">
      <c r="C452" s="527"/>
      <c r="D452" s="527"/>
    </row>
    <row r="453">
      <c r="C453" s="527"/>
      <c r="D453" s="527"/>
    </row>
    <row r="454">
      <c r="C454" s="527"/>
      <c r="D454" s="527"/>
    </row>
    <row r="455">
      <c r="C455" s="527"/>
      <c r="D455" s="527"/>
    </row>
    <row r="456">
      <c r="C456" s="527"/>
      <c r="D456" s="527"/>
    </row>
    <row r="457">
      <c r="C457" s="527"/>
      <c r="D457" s="527"/>
    </row>
    <row r="458">
      <c r="C458" s="527"/>
      <c r="D458" s="527"/>
    </row>
    <row r="459">
      <c r="C459" s="527"/>
      <c r="D459" s="527"/>
    </row>
    <row r="460">
      <c r="C460" s="527"/>
      <c r="D460" s="527"/>
    </row>
    <row r="461">
      <c r="C461" s="527"/>
      <c r="D461" s="527"/>
    </row>
    <row r="462">
      <c r="C462" s="527"/>
      <c r="D462" s="527"/>
    </row>
    <row r="463">
      <c r="C463" s="527"/>
      <c r="D463" s="527"/>
    </row>
    <row r="464">
      <c r="C464" s="527"/>
      <c r="D464" s="527"/>
    </row>
    <row r="465">
      <c r="C465" s="527"/>
      <c r="D465" s="527"/>
    </row>
    <row r="466">
      <c r="C466" s="527"/>
      <c r="D466" s="527"/>
    </row>
    <row r="467">
      <c r="C467" s="527"/>
      <c r="D467" s="527"/>
    </row>
    <row r="468">
      <c r="C468" s="527"/>
      <c r="D468" s="527"/>
    </row>
    <row r="469">
      <c r="C469" s="527"/>
      <c r="D469" s="527"/>
    </row>
    <row r="470">
      <c r="C470" s="527"/>
      <c r="D470" s="527"/>
    </row>
    <row r="471">
      <c r="C471" s="527"/>
      <c r="D471" s="527"/>
    </row>
    <row r="472">
      <c r="C472" s="527"/>
      <c r="D472" s="527"/>
    </row>
    <row r="473">
      <c r="C473" s="527"/>
      <c r="D473" s="527"/>
    </row>
    <row r="474">
      <c r="C474" s="527"/>
      <c r="D474" s="527"/>
    </row>
    <row r="475">
      <c r="C475" s="527"/>
      <c r="D475" s="527"/>
    </row>
    <row r="476">
      <c r="C476" s="527"/>
      <c r="D476" s="527"/>
    </row>
    <row r="477">
      <c r="C477" s="527"/>
      <c r="D477" s="527"/>
    </row>
    <row r="478">
      <c r="C478" s="527"/>
      <c r="D478" s="527"/>
    </row>
    <row r="479">
      <c r="C479" s="527"/>
      <c r="D479" s="527"/>
    </row>
    <row r="480">
      <c r="C480" s="527"/>
      <c r="D480" s="527"/>
    </row>
    <row r="481">
      <c r="C481" s="527"/>
      <c r="D481" s="527"/>
    </row>
    <row r="482">
      <c r="C482" s="527"/>
      <c r="D482" s="527"/>
    </row>
    <row r="483">
      <c r="C483" s="527"/>
      <c r="D483" s="527"/>
    </row>
    <row r="484">
      <c r="C484" s="527"/>
      <c r="D484" s="527"/>
    </row>
    <row r="485">
      <c r="C485" s="527"/>
      <c r="D485" s="527"/>
    </row>
    <row r="486">
      <c r="C486" s="527"/>
      <c r="D486" s="527"/>
    </row>
    <row r="487">
      <c r="C487" s="527"/>
      <c r="D487" s="527"/>
    </row>
    <row r="488">
      <c r="C488" s="527"/>
      <c r="D488" s="527"/>
    </row>
    <row r="489">
      <c r="C489" s="527"/>
      <c r="D489" s="527"/>
    </row>
    <row r="490">
      <c r="C490" s="527"/>
      <c r="D490" s="527"/>
    </row>
    <row r="491">
      <c r="C491" s="527"/>
      <c r="D491" s="527"/>
    </row>
    <row r="492">
      <c r="C492" s="527"/>
      <c r="D492" s="527"/>
    </row>
    <row r="493">
      <c r="C493" s="527"/>
      <c r="D493" s="527"/>
    </row>
    <row r="494">
      <c r="C494" s="527"/>
      <c r="D494" s="527"/>
    </row>
    <row r="495">
      <c r="C495" s="527"/>
      <c r="D495" s="527"/>
    </row>
    <row r="496">
      <c r="C496" s="527"/>
      <c r="D496" s="527"/>
    </row>
    <row r="497">
      <c r="C497" s="527"/>
      <c r="D497" s="527"/>
    </row>
    <row r="498">
      <c r="C498" s="527"/>
      <c r="D498" s="527"/>
    </row>
    <row r="499">
      <c r="C499" s="527"/>
      <c r="D499" s="527"/>
    </row>
    <row r="500">
      <c r="C500" s="527"/>
      <c r="D500" s="527"/>
    </row>
    <row r="501">
      <c r="C501" s="527"/>
      <c r="D501" s="527"/>
    </row>
    <row r="502">
      <c r="C502" s="527"/>
      <c r="D502" s="527"/>
    </row>
    <row r="503">
      <c r="C503" s="527"/>
      <c r="D503" s="527"/>
    </row>
    <row r="504">
      <c r="C504" s="527"/>
      <c r="D504" s="527"/>
    </row>
    <row r="505">
      <c r="C505" s="527"/>
      <c r="D505" s="527"/>
    </row>
    <row r="506">
      <c r="C506" s="527"/>
      <c r="D506" s="527"/>
    </row>
    <row r="507">
      <c r="C507" s="527"/>
      <c r="D507" s="527"/>
    </row>
    <row r="508">
      <c r="C508" s="527"/>
      <c r="D508" s="527"/>
    </row>
    <row r="509">
      <c r="C509" s="527"/>
      <c r="D509" s="527"/>
    </row>
    <row r="510">
      <c r="C510" s="527"/>
      <c r="D510" s="527"/>
    </row>
    <row r="511">
      <c r="C511" s="527"/>
      <c r="D511" s="527"/>
    </row>
    <row r="512">
      <c r="C512" s="527"/>
      <c r="D512" s="527"/>
    </row>
    <row r="513">
      <c r="C513" s="527"/>
      <c r="D513" s="527"/>
    </row>
    <row r="514">
      <c r="C514" s="527"/>
      <c r="D514" s="527"/>
    </row>
    <row r="515">
      <c r="C515" s="527"/>
      <c r="D515" s="527"/>
    </row>
    <row r="516">
      <c r="C516" s="527"/>
      <c r="D516" s="527"/>
    </row>
    <row r="517">
      <c r="C517" s="527"/>
      <c r="D517" s="527"/>
    </row>
    <row r="518">
      <c r="C518" s="527"/>
      <c r="D518" s="527"/>
    </row>
    <row r="519">
      <c r="C519" s="527"/>
      <c r="D519" s="527"/>
    </row>
    <row r="520">
      <c r="C520" s="527"/>
      <c r="D520" s="527"/>
    </row>
    <row r="521">
      <c r="C521" s="527"/>
      <c r="D521" s="527"/>
    </row>
    <row r="522">
      <c r="C522" s="527"/>
      <c r="D522" s="527"/>
    </row>
    <row r="523">
      <c r="C523" s="527"/>
      <c r="D523" s="527"/>
    </row>
    <row r="524">
      <c r="C524" s="527"/>
      <c r="D524" s="527"/>
    </row>
    <row r="525">
      <c r="C525" s="527"/>
      <c r="D525" s="527"/>
    </row>
    <row r="526">
      <c r="C526" s="527"/>
      <c r="D526" s="527"/>
    </row>
    <row r="527">
      <c r="C527" s="527"/>
      <c r="D527" s="527"/>
    </row>
    <row r="528">
      <c r="C528" s="527"/>
      <c r="D528" s="527"/>
    </row>
    <row r="529">
      <c r="C529" s="527"/>
      <c r="D529" s="527"/>
    </row>
    <row r="530">
      <c r="C530" s="527"/>
      <c r="D530" s="527"/>
    </row>
    <row r="531">
      <c r="C531" s="527"/>
      <c r="D531" s="527"/>
    </row>
    <row r="532">
      <c r="C532" s="527"/>
      <c r="D532" s="527"/>
    </row>
    <row r="533">
      <c r="C533" s="527"/>
      <c r="D533" s="527"/>
    </row>
    <row r="534">
      <c r="C534" s="527"/>
      <c r="D534" s="527"/>
    </row>
    <row r="535">
      <c r="C535" s="527"/>
      <c r="D535" s="527"/>
    </row>
    <row r="536">
      <c r="C536" s="527"/>
      <c r="D536" s="527"/>
    </row>
    <row r="537">
      <c r="C537" s="527"/>
      <c r="D537" s="527"/>
    </row>
    <row r="538">
      <c r="C538" s="527"/>
      <c r="D538" s="527"/>
    </row>
    <row r="539">
      <c r="C539" s="527"/>
      <c r="D539" s="527"/>
    </row>
    <row r="540">
      <c r="C540" s="527"/>
      <c r="D540" s="527"/>
    </row>
    <row r="541">
      <c r="C541" s="527"/>
      <c r="D541" s="527"/>
    </row>
    <row r="542">
      <c r="C542" s="527"/>
      <c r="D542" s="527"/>
    </row>
    <row r="543">
      <c r="C543" s="527"/>
      <c r="D543" s="527"/>
    </row>
    <row r="544">
      <c r="C544" s="527"/>
      <c r="D544" s="527"/>
    </row>
    <row r="545">
      <c r="C545" s="527"/>
      <c r="D545" s="527"/>
    </row>
    <row r="546">
      <c r="C546" s="527"/>
      <c r="D546" s="527"/>
    </row>
    <row r="547">
      <c r="C547" s="527"/>
      <c r="D547" s="527"/>
    </row>
    <row r="548">
      <c r="C548" s="527"/>
      <c r="D548" s="527"/>
    </row>
    <row r="549">
      <c r="C549" s="527"/>
      <c r="D549" s="527"/>
    </row>
    <row r="550">
      <c r="C550" s="527"/>
      <c r="D550" s="527"/>
    </row>
    <row r="551">
      <c r="C551" s="527"/>
      <c r="D551" s="527"/>
    </row>
    <row r="552">
      <c r="C552" s="527"/>
      <c r="D552" s="527"/>
    </row>
    <row r="553">
      <c r="C553" s="527"/>
      <c r="D553" s="527"/>
    </row>
    <row r="554">
      <c r="C554" s="527"/>
      <c r="D554" s="527"/>
    </row>
    <row r="555">
      <c r="C555" s="527"/>
      <c r="D555" s="527"/>
    </row>
    <row r="556">
      <c r="C556" s="527"/>
      <c r="D556" s="527"/>
    </row>
    <row r="557">
      <c r="C557" s="527"/>
      <c r="D557" s="527"/>
    </row>
    <row r="558">
      <c r="C558" s="527"/>
      <c r="D558" s="527"/>
    </row>
    <row r="559">
      <c r="C559" s="527"/>
      <c r="D559" s="527"/>
    </row>
    <row r="560">
      <c r="C560" s="527"/>
      <c r="D560" s="527"/>
    </row>
    <row r="561">
      <c r="C561" s="527"/>
      <c r="D561" s="527"/>
    </row>
    <row r="562">
      <c r="C562" s="527"/>
      <c r="D562" s="527"/>
    </row>
    <row r="563">
      <c r="C563" s="527"/>
      <c r="D563" s="527"/>
    </row>
    <row r="564">
      <c r="C564" s="527"/>
      <c r="D564" s="527"/>
    </row>
    <row r="565">
      <c r="C565" s="527"/>
      <c r="D565" s="527"/>
    </row>
    <row r="566">
      <c r="C566" s="527"/>
      <c r="D566" s="527"/>
    </row>
    <row r="567">
      <c r="C567" s="527"/>
      <c r="D567" s="527"/>
    </row>
    <row r="568">
      <c r="C568" s="527"/>
      <c r="D568" s="527"/>
    </row>
    <row r="569">
      <c r="C569" s="527"/>
      <c r="D569" s="527"/>
    </row>
    <row r="570">
      <c r="C570" s="527"/>
      <c r="D570" s="527"/>
    </row>
    <row r="571">
      <c r="C571" s="527"/>
      <c r="D571" s="527"/>
    </row>
    <row r="572">
      <c r="C572" s="527"/>
      <c r="D572" s="527"/>
    </row>
    <row r="573">
      <c r="C573" s="527"/>
      <c r="D573" s="527"/>
    </row>
    <row r="574">
      <c r="C574" s="527"/>
      <c r="D574" s="527"/>
    </row>
    <row r="575">
      <c r="C575" s="527"/>
      <c r="D575" s="527"/>
    </row>
    <row r="576">
      <c r="C576" s="527"/>
      <c r="D576" s="527"/>
    </row>
    <row r="577">
      <c r="C577" s="527"/>
      <c r="D577" s="527"/>
    </row>
    <row r="578">
      <c r="C578" s="527"/>
      <c r="D578" s="527"/>
    </row>
    <row r="579">
      <c r="C579" s="527"/>
      <c r="D579" s="527"/>
    </row>
    <row r="580">
      <c r="C580" s="527"/>
      <c r="D580" s="527"/>
    </row>
    <row r="581">
      <c r="C581" s="527"/>
      <c r="D581" s="527"/>
    </row>
    <row r="582">
      <c r="C582" s="527"/>
      <c r="D582" s="527"/>
    </row>
    <row r="583">
      <c r="C583" s="527"/>
      <c r="D583" s="527"/>
    </row>
    <row r="584">
      <c r="C584" s="527"/>
      <c r="D584" s="527"/>
    </row>
    <row r="585">
      <c r="C585" s="527"/>
      <c r="D585" s="527"/>
    </row>
    <row r="586">
      <c r="C586" s="527"/>
      <c r="D586" s="527"/>
    </row>
    <row r="587">
      <c r="C587" s="527"/>
      <c r="D587" s="527"/>
    </row>
    <row r="588">
      <c r="C588" s="527"/>
      <c r="D588" s="527"/>
    </row>
    <row r="589">
      <c r="C589" s="527"/>
      <c r="D589" s="527"/>
    </row>
    <row r="590">
      <c r="C590" s="527"/>
      <c r="D590" s="527"/>
    </row>
    <row r="591">
      <c r="C591" s="527"/>
      <c r="D591" s="527"/>
    </row>
    <row r="592">
      <c r="C592" s="527"/>
      <c r="D592" s="527"/>
    </row>
    <row r="593">
      <c r="C593" s="527"/>
      <c r="D593" s="527"/>
    </row>
    <row r="594">
      <c r="C594" s="527"/>
      <c r="D594" s="527"/>
    </row>
    <row r="595">
      <c r="C595" s="527"/>
      <c r="D595" s="527"/>
    </row>
    <row r="596">
      <c r="C596" s="527"/>
      <c r="D596" s="527"/>
    </row>
    <row r="597">
      <c r="C597" s="527"/>
      <c r="D597" s="527"/>
    </row>
    <row r="598">
      <c r="C598" s="527"/>
      <c r="D598" s="527"/>
    </row>
    <row r="599">
      <c r="C599" s="527"/>
      <c r="D599" s="527"/>
    </row>
    <row r="600">
      <c r="C600" s="527"/>
      <c r="D600" s="527"/>
    </row>
    <row r="601">
      <c r="C601" s="527"/>
      <c r="D601" s="527"/>
    </row>
    <row r="602">
      <c r="C602" s="527"/>
      <c r="D602" s="527"/>
    </row>
    <row r="603">
      <c r="C603" s="527"/>
      <c r="D603" s="527"/>
    </row>
    <row r="604">
      <c r="C604" s="527"/>
      <c r="D604" s="527"/>
    </row>
    <row r="605">
      <c r="C605" s="527"/>
      <c r="D605" s="527"/>
    </row>
    <row r="606">
      <c r="C606" s="527"/>
      <c r="D606" s="527"/>
    </row>
    <row r="607">
      <c r="C607" s="527"/>
      <c r="D607" s="527"/>
    </row>
    <row r="608">
      <c r="C608" s="527"/>
      <c r="D608" s="527"/>
    </row>
    <row r="609">
      <c r="C609" s="527"/>
      <c r="D609" s="527"/>
    </row>
    <row r="610">
      <c r="C610" s="527"/>
      <c r="D610" s="527"/>
    </row>
    <row r="611">
      <c r="C611" s="527"/>
      <c r="D611" s="527"/>
    </row>
    <row r="612">
      <c r="C612" s="527"/>
      <c r="D612" s="527"/>
    </row>
    <row r="613">
      <c r="C613" s="527"/>
      <c r="D613" s="527"/>
    </row>
    <row r="614">
      <c r="C614" s="527"/>
      <c r="D614" s="527"/>
    </row>
    <row r="615">
      <c r="C615" s="527"/>
      <c r="D615" s="527"/>
    </row>
    <row r="616">
      <c r="C616" s="527"/>
      <c r="D616" s="527"/>
    </row>
    <row r="617">
      <c r="C617" s="527"/>
      <c r="D617" s="527"/>
    </row>
    <row r="618">
      <c r="C618" s="527"/>
      <c r="D618" s="527"/>
    </row>
    <row r="619">
      <c r="C619" s="527"/>
      <c r="D619" s="527"/>
    </row>
    <row r="620">
      <c r="C620" s="527"/>
      <c r="D620" s="527"/>
    </row>
    <row r="621">
      <c r="C621" s="527"/>
      <c r="D621" s="527"/>
    </row>
    <row r="622">
      <c r="C622" s="527"/>
      <c r="D622" s="527"/>
    </row>
    <row r="623">
      <c r="C623" s="527"/>
      <c r="D623" s="527"/>
    </row>
    <row r="624">
      <c r="C624" s="527"/>
      <c r="D624" s="527"/>
    </row>
    <row r="625">
      <c r="C625" s="527"/>
      <c r="D625" s="527"/>
    </row>
    <row r="626">
      <c r="C626" s="527"/>
      <c r="D626" s="527"/>
    </row>
    <row r="627">
      <c r="C627" s="527"/>
      <c r="D627" s="527"/>
    </row>
    <row r="628">
      <c r="C628" s="527"/>
      <c r="D628" s="527"/>
    </row>
    <row r="629">
      <c r="C629" s="527"/>
      <c r="D629" s="527"/>
    </row>
    <row r="630">
      <c r="C630" s="527"/>
      <c r="D630" s="527"/>
    </row>
    <row r="631">
      <c r="C631" s="527"/>
      <c r="D631" s="527"/>
    </row>
    <row r="632">
      <c r="C632" s="527"/>
      <c r="D632" s="527"/>
    </row>
    <row r="633">
      <c r="C633" s="527"/>
      <c r="D633" s="527"/>
    </row>
    <row r="634">
      <c r="C634" s="527"/>
      <c r="D634" s="527"/>
    </row>
    <row r="635">
      <c r="C635" s="527"/>
      <c r="D635" s="527"/>
    </row>
    <row r="636">
      <c r="C636" s="527"/>
      <c r="D636" s="527"/>
    </row>
    <row r="637">
      <c r="C637" s="527"/>
      <c r="D637" s="527"/>
    </row>
    <row r="638">
      <c r="C638" s="527"/>
      <c r="D638" s="527"/>
    </row>
    <row r="639">
      <c r="C639" s="527"/>
      <c r="D639" s="527"/>
    </row>
    <row r="640">
      <c r="C640" s="527"/>
      <c r="D640" s="527"/>
    </row>
    <row r="641">
      <c r="C641" s="527"/>
      <c r="D641" s="527"/>
    </row>
    <row r="642">
      <c r="C642" s="527"/>
      <c r="D642" s="527"/>
    </row>
    <row r="643">
      <c r="C643" s="527"/>
      <c r="D643" s="527"/>
    </row>
    <row r="644">
      <c r="C644" s="527"/>
      <c r="D644" s="527"/>
    </row>
    <row r="645">
      <c r="C645" s="527"/>
      <c r="D645" s="527"/>
    </row>
    <row r="646">
      <c r="C646" s="527"/>
      <c r="D646" s="527"/>
    </row>
    <row r="647">
      <c r="C647" s="527"/>
      <c r="D647" s="527"/>
    </row>
    <row r="648">
      <c r="C648" s="527"/>
      <c r="D648" s="527"/>
    </row>
    <row r="649">
      <c r="C649" s="527"/>
      <c r="D649" s="527"/>
    </row>
    <row r="650">
      <c r="C650" s="527"/>
      <c r="D650" s="527"/>
    </row>
    <row r="651">
      <c r="C651" s="527"/>
      <c r="D651" s="527"/>
    </row>
    <row r="652">
      <c r="C652" s="527"/>
      <c r="D652" s="527"/>
    </row>
    <row r="653">
      <c r="C653" s="527"/>
      <c r="D653" s="527"/>
    </row>
    <row r="654">
      <c r="C654" s="527"/>
      <c r="D654" s="527"/>
    </row>
    <row r="655">
      <c r="C655" s="527"/>
      <c r="D655" s="527"/>
    </row>
    <row r="656">
      <c r="C656" s="527"/>
      <c r="D656" s="527"/>
    </row>
    <row r="657">
      <c r="C657" s="527"/>
      <c r="D657" s="527"/>
    </row>
    <row r="658">
      <c r="C658" s="527"/>
      <c r="D658" s="527"/>
    </row>
    <row r="659">
      <c r="C659" s="527"/>
      <c r="D659" s="527"/>
    </row>
    <row r="660">
      <c r="C660" s="527"/>
      <c r="D660" s="527"/>
    </row>
    <row r="661">
      <c r="C661" s="527"/>
      <c r="D661" s="527"/>
    </row>
    <row r="662">
      <c r="C662" s="527"/>
      <c r="D662" s="527"/>
    </row>
    <row r="663">
      <c r="C663" s="527"/>
      <c r="D663" s="527"/>
    </row>
    <row r="664">
      <c r="C664" s="527"/>
      <c r="D664" s="527"/>
    </row>
    <row r="665">
      <c r="C665" s="527"/>
      <c r="D665" s="527"/>
    </row>
    <row r="666">
      <c r="C666" s="527"/>
      <c r="D666" s="527"/>
    </row>
    <row r="667">
      <c r="C667" s="527"/>
      <c r="D667" s="527"/>
    </row>
    <row r="668">
      <c r="C668" s="527"/>
      <c r="D668" s="527"/>
    </row>
    <row r="669">
      <c r="C669" s="527"/>
      <c r="D669" s="527"/>
    </row>
    <row r="670">
      <c r="C670" s="527"/>
      <c r="D670" s="527"/>
    </row>
    <row r="671">
      <c r="C671" s="527"/>
      <c r="D671" s="527"/>
    </row>
    <row r="672">
      <c r="C672" s="527"/>
      <c r="D672" s="527"/>
    </row>
    <row r="673">
      <c r="C673" s="527"/>
      <c r="D673" s="527"/>
    </row>
    <row r="674">
      <c r="C674" s="527"/>
      <c r="D674" s="527"/>
    </row>
    <row r="675">
      <c r="C675" s="527"/>
      <c r="D675" s="527"/>
    </row>
    <row r="676">
      <c r="C676" s="527"/>
      <c r="D676" s="527"/>
    </row>
    <row r="677">
      <c r="C677" s="527"/>
      <c r="D677" s="527"/>
    </row>
    <row r="678">
      <c r="C678" s="527"/>
      <c r="D678" s="527"/>
    </row>
    <row r="679">
      <c r="C679" s="527"/>
      <c r="D679" s="527"/>
    </row>
    <row r="680">
      <c r="C680" s="527"/>
      <c r="D680" s="527"/>
    </row>
    <row r="681">
      <c r="C681" s="527"/>
      <c r="D681" s="527"/>
    </row>
    <row r="682">
      <c r="C682" s="527"/>
      <c r="D682" s="527"/>
    </row>
    <row r="683">
      <c r="C683" s="527"/>
      <c r="D683" s="527"/>
    </row>
    <row r="684">
      <c r="C684" s="527"/>
      <c r="D684" s="527"/>
    </row>
    <row r="685">
      <c r="C685" s="527"/>
      <c r="D685" s="527"/>
    </row>
    <row r="686">
      <c r="C686" s="527"/>
      <c r="D686" s="527"/>
    </row>
    <row r="687">
      <c r="C687" s="527"/>
      <c r="D687" s="527"/>
    </row>
    <row r="688">
      <c r="C688" s="527"/>
      <c r="D688" s="527"/>
    </row>
    <row r="689">
      <c r="C689" s="527"/>
      <c r="D689" s="527"/>
    </row>
    <row r="690">
      <c r="C690" s="527"/>
      <c r="D690" s="527"/>
    </row>
    <row r="691">
      <c r="C691" s="527"/>
      <c r="D691" s="527"/>
    </row>
    <row r="692">
      <c r="C692" s="527"/>
      <c r="D692" s="527"/>
    </row>
    <row r="693">
      <c r="C693" s="527"/>
      <c r="D693" s="527"/>
    </row>
    <row r="694">
      <c r="C694" s="527"/>
      <c r="D694" s="527"/>
    </row>
    <row r="695">
      <c r="C695" s="527"/>
      <c r="D695" s="527"/>
    </row>
    <row r="696">
      <c r="C696" s="527"/>
      <c r="D696" s="527"/>
    </row>
    <row r="697">
      <c r="C697" s="527"/>
      <c r="D697" s="527"/>
    </row>
    <row r="698">
      <c r="C698" s="527"/>
      <c r="D698" s="527"/>
    </row>
    <row r="699">
      <c r="C699" s="527"/>
      <c r="D699" s="527"/>
    </row>
    <row r="700">
      <c r="C700" s="527"/>
      <c r="D700" s="527"/>
    </row>
    <row r="701">
      <c r="C701" s="527"/>
      <c r="D701" s="527"/>
    </row>
    <row r="702">
      <c r="C702" s="527"/>
      <c r="D702" s="527"/>
    </row>
    <row r="703">
      <c r="C703" s="527"/>
      <c r="D703" s="527"/>
    </row>
    <row r="704">
      <c r="C704" s="527"/>
      <c r="D704" s="527"/>
    </row>
    <row r="705">
      <c r="C705" s="527"/>
      <c r="D705" s="527"/>
    </row>
    <row r="706">
      <c r="C706" s="527"/>
      <c r="D706" s="527"/>
    </row>
    <row r="707">
      <c r="C707" s="527"/>
      <c r="D707" s="527"/>
    </row>
    <row r="708">
      <c r="C708" s="527"/>
      <c r="D708" s="527"/>
    </row>
    <row r="709">
      <c r="C709" s="527"/>
      <c r="D709" s="527"/>
    </row>
    <row r="710">
      <c r="C710" s="527"/>
      <c r="D710" s="527"/>
    </row>
    <row r="711">
      <c r="C711" s="527"/>
      <c r="D711" s="527"/>
    </row>
    <row r="712">
      <c r="C712" s="527"/>
      <c r="D712" s="527"/>
    </row>
    <row r="713">
      <c r="C713" s="527"/>
      <c r="D713" s="527"/>
    </row>
    <row r="714">
      <c r="C714" s="527"/>
      <c r="D714" s="527"/>
    </row>
    <row r="715">
      <c r="C715" s="527"/>
      <c r="D715" s="527"/>
    </row>
    <row r="716">
      <c r="C716" s="527"/>
      <c r="D716" s="527"/>
    </row>
    <row r="717">
      <c r="C717" s="527"/>
      <c r="D717" s="527"/>
    </row>
    <row r="718">
      <c r="C718" s="527"/>
      <c r="D718" s="527"/>
    </row>
    <row r="719">
      <c r="C719" s="527"/>
      <c r="D719" s="527"/>
    </row>
    <row r="720">
      <c r="C720" s="527"/>
      <c r="D720" s="527"/>
    </row>
    <row r="721">
      <c r="C721" s="527"/>
      <c r="D721" s="527"/>
    </row>
    <row r="722">
      <c r="C722" s="527"/>
      <c r="D722" s="527"/>
    </row>
    <row r="723">
      <c r="C723" s="527"/>
      <c r="D723" s="527"/>
    </row>
    <row r="724">
      <c r="C724" s="527"/>
      <c r="D724" s="527"/>
    </row>
    <row r="725">
      <c r="C725" s="527"/>
      <c r="D725" s="527"/>
    </row>
    <row r="726">
      <c r="C726" s="527"/>
      <c r="D726" s="527"/>
    </row>
    <row r="727">
      <c r="C727" s="527"/>
      <c r="D727" s="527"/>
    </row>
    <row r="728">
      <c r="C728" s="527"/>
      <c r="D728" s="527"/>
    </row>
    <row r="729">
      <c r="C729" s="527"/>
      <c r="D729" s="527"/>
    </row>
    <row r="730">
      <c r="C730" s="527"/>
      <c r="D730" s="527"/>
    </row>
    <row r="731">
      <c r="C731" s="527"/>
      <c r="D731" s="527"/>
    </row>
    <row r="732">
      <c r="C732" s="527"/>
      <c r="D732" s="527"/>
    </row>
    <row r="733">
      <c r="C733" s="527"/>
      <c r="D733" s="527"/>
    </row>
    <row r="734">
      <c r="C734" s="527"/>
      <c r="D734" s="527"/>
    </row>
    <row r="735">
      <c r="C735" s="527"/>
      <c r="D735" s="527"/>
    </row>
    <row r="736">
      <c r="C736" s="527"/>
      <c r="D736" s="527"/>
    </row>
    <row r="737">
      <c r="C737" s="527"/>
      <c r="D737" s="527"/>
    </row>
    <row r="738">
      <c r="C738" s="527"/>
      <c r="D738" s="527"/>
    </row>
    <row r="739">
      <c r="C739" s="527"/>
      <c r="D739" s="527"/>
    </row>
    <row r="740">
      <c r="C740" s="527"/>
      <c r="D740" s="527"/>
    </row>
    <row r="741">
      <c r="C741" s="527"/>
      <c r="D741" s="527"/>
    </row>
    <row r="742">
      <c r="C742" s="527"/>
      <c r="D742" s="527"/>
    </row>
    <row r="743">
      <c r="C743" s="527"/>
      <c r="D743" s="527"/>
    </row>
    <row r="744">
      <c r="C744" s="527"/>
      <c r="D744" s="527"/>
    </row>
    <row r="745">
      <c r="C745" s="527"/>
      <c r="D745" s="527"/>
    </row>
    <row r="746">
      <c r="C746" s="527"/>
      <c r="D746" s="527"/>
    </row>
    <row r="747">
      <c r="C747" s="527"/>
      <c r="D747" s="527"/>
    </row>
    <row r="748">
      <c r="C748" s="527"/>
      <c r="D748" s="527"/>
    </row>
    <row r="749">
      <c r="C749" s="527"/>
      <c r="D749" s="527"/>
    </row>
    <row r="750">
      <c r="C750" s="527"/>
      <c r="D750" s="527"/>
    </row>
    <row r="751">
      <c r="C751" s="527"/>
      <c r="D751" s="527"/>
    </row>
    <row r="752">
      <c r="C752" s="527"/>
      <c r="D752" s="527"/>
    </row>
    <row r="753">
      <c r="C753" s="527"/>
      <c r="D753" s="527"/>
    </row>
    <row r="754">
      <c r="C754" s="527"/>
      <c r="D754" s="527"/>
    </row>
    <row r="755">
      <c r="C755" s="527"/>
      <c r="D755" s="527"/>
    </row>
    <row r="756">
      <c r="C756" s="527"/>
      <c r="D756" s="527"/>
    </row>
    <row r="757">
      <c r="C757" s="527"/>
      <c r="D757" s="527"/>
    </row>
    <row r="758">
      <c r="C758" s="527"/>
      <c r="D758" s="527"/>
    </row>
    <row r="759">
      <c r="C759" s="527"/>
      <c r="D759" s="527"/>
    </row>
    <row r="760">
      <c r="C760" s="527"/>
      <c r="D760" s="527"/>
    </row>
    <row r="761">
      <c r="C761" s="527"/>
      <c r="D761" s="527"/>
    </row>
    <row r="762">
      <c r="C762" s="527"/>
      <c r="D762" s="527"/>
    </row>
    <row r="763">
      <c r="C763" s="527"/>
      <c r="D763" s="527"/>
    </row>
    <row r="764">
      <c r="C764" s="527"/>
      <c r="D764" s="527"/>
    </row>
    <row r="765">
      <c r="C765" s="527"/>
      <c r="D765" s="527"/>
    </row>
    <row r="766">
      <c r="C766" s="527"/>
      <c r="D766" s="527"/>
    </row>
    <row r="767">
      <c r="C767" s="527"/>
      <c r="D767" s="527"/>
    </row>
    <row r="768">
      <c r="C768" s="527"/>
      <c r="D768" s="527"/>
    </row>
    <row r="769">
      <c r="C769" s="527"/>
      <c r="D769" s="527"/>
    </row>
    <row r="770">
      <c r="C770" s="527"/>
      <c r="D770" s="527"/>
    </row>
    <row r="771">
      <c r="C771" s="527"/>
      <c r="D771" s="527"/>
    </row>
    <row r="772">
      <c r="C772" s="527"/>
      <c r="D772" s="527"/>
    </row>
    <row r="773">
      <c r="C773" s="527"/>
      <c r="D773" s="527"/>
    </row>
    <row r="774">
      <c r="C774" s="527"/>
      <c r="D774" s="527"/>
    </row>
    <row r="775">
      <c r="C775" s="527"/>
      <c r="D775" s="527"/>
    </row>
    <row r="776">
      <c r="C776" s="527"/>
      <c r="D776" s="527"/>
    </row>
    <row r="777">
      <c r="C777" s="527"/>
      <c r="D777" s="527"/>
    </row>
    <row r="778">
      <c r="C778" s="527"/>
      <c r="D778" s="527"/>
    </row>
    <row r="779">
      <c r="C779" s="527"/>
      <c r="D779" s="527"/>
    </row>
    <row r="780">
      <c r="C780" s="527"/>
      <c r="D780" s="527"/>
    </row>
    <row r="781">
      <c r="C781" s="527"/>
      <c r="D781" s="527"/>
    </row>
    <row r="782">
      <c r="C782" s="527"/>
      <c r="D782" s="527"/>
    </row>
    <row r="783">
      <c r="C783" s="527"/>
      <c r="D783" s="527"/>
    </row>
    <row r="784">
      <c r="C784" s="527"/>
      <c r="D784" s="527"/>
    </row>
    <row r="785">
      <c r="C785" s="527"/>
      <c r="D785" s="527"/>
    </row>
    <row r="786">
      <c r="C786" s="527"/>
      <c r="D786" s="527"/>
    </row>
    <row r="787">
      <c r="C787" s="527"/>
      <c r="D787" s="527"/>
    </row>
    <row r="788">
      <c r="C788" s="527"/>
      <c r="D788" s="527"/>
    </row>
    <row r="789">
      <c r="C789" s="527"/>
      <c r="D789" s="527"/>
    </row>
    <row r="790">
      <c r="C790" s="527"/>
      <c r="D790" s="527"/>
    </row>
    <row r="791">
      <c r="C791" s="527"/>
      <c r="D791" s="527"/>
    </row>
    <row r="792">
      <c r="C792" s="527"/>
      <c r="D792" s="527"/>
    </row>
    <row r="793">
      <c r="C793" s="527"/>
      <c r="D793" s="527"/>
    </row>
    <row r="794">
      <c r="C794" s="527"/>
      <c r="D794" s="527"/>
    </row>
    <row r="795">
      <c r="C795" s="527"/>
      <c r="D795" s="527"/>
    </row>
    <row r="796">
      <c r="C796" s="527"/>
      <c r="D796" s="527"/>
    </row>
    <row r="797">
      <c r="C797" s="527"/>
      <c r="D797" s="527"/>
    </row>
    <row r="798">
      <c r="C798" s="527"/>
      <c r="D798" s="527"/>
    </row>
    <row r="799">
      <c r="C799" s="527"/>
      <c r="D799" s="527"/>
    </row>
    <row r="800">
      <c r="C800" s="527"/>
      <c r="D800" s="527"/>
    </row>
    <row r="801">
      <c r="C801" s="527"/>
      <c r="D801" s="527"/>
    </row>
    <row r="802">
      <c r="C802" s="527"/>
      <c r="D802" s="527"/>
    </row>
    <row r="803">
      <c r="C803" s="527"/>
      <c r="D803" s="527"/>
    </row>
    <row r="804">
      <c r="C804" s="527"/>
      <c r="D804" s="527"/>
    </row>
    <row r="805">
      <c r="C805" s="527"/>
      <c r="D805" s="527"/>
    </row>
    <row r="806">
      <c r="C806" s="527"/>
      <c r="D806" s="527"/>
    </row>
    <row r="807">
      <c r="C807" s="527"/>
      <c r="D807" s="527"/>
    </row>
    <row r="808">
      <c r="C808" s="527"/>
      <c r="D808" s="527"/>
    </row>
    <row r="809">
      <c r="C809" s="527"/>
      <c r="D809" s="527"/>
    </row>
    <row r="810">
      <c r="C810" s="527"/>
      <c r="D810" s="527"/>
    </row>
    <row r="811">
      <c r="C811" s="527"/>
      <c r="D811" s="527"/>
    </row>
    <row r="812">
      <c r="C812" s="527"/>
      <c r="D812" s="527"/>
    </row>
    <row r="813">
      <c r="C813" s="527"/>
      <c r="D813" s="527"/>
    </row>
    <row r="814">
      <c r="C814" s="527"/>
      <c r="D814" s="527"/>
    </row>
    <row r="815">
      <c r="C815" s="527"/>
      <c r="D815" s="527"/>
    </row>
    <row r="816">
      <c r="C816" s="527"/>
      <c r="D816" s="527"/>
    </row>
    <row r="817">
      <c r="C817" s="527"/>
      <c r="D817" s="527"/>
    </row>
    <row r="818">
      <c r="C818" s="527"/>
      <c r="D818" s="527"/>
    </row>
    <row r="819">
      <c r="C819" s="527"/>
      <c r="D819" s="527"/>
    </row>
    <row r="820">
      <c r="C820" s="527"/>
      <c r="D820" s="527"/>
    </row>
    <row r="821">
      <c r="C821" s="527"/>
      <c r="D821" s="527"/>
    </row>
    <row r="822">
      <c r="C822" s="527"/>
      <c r="D822" s="527"/>
    </row>
    <row r="823">
      <c r="C823" s="527"/>
      <c r="D823" s="527"/>
    </row>
    <row r="824">
      <c r="C824" s="527"/>
      <c r="D824" s="527"/>
    </row>
    <row r="825">
      <c r="C825" s="527"/>
      <c r="D825" s="527"/>
    </row>
    <row r="826">
      <c r="C826" s="527"/>
      <c r="D826" s="527"/>
    </row>
    <row r="827">
      <c r="C827" s="527"/>
      <c r="D827" s="527"/>
    </row>
    <row r="828">
      <c r="C828" s="527"/>
      <c r="D828" s="527"/>
    </row>
    <row r="829">
      <c r="C829" s="527"/>
      <c r="D829" s="527"/>
    </row>
    <row r="830">
      <c r="C830" s="527"/>
      <c r="D830" s="527"/>
    </row>
    <row r="831">
      <c r="C831" s="527"/>
      <c r="D831" s="527"/>
    </row>
    <row r="832">
      <c r="C832" s="527"/>
      <c r="D832" s="527"/>
    </row>
    <row r="833">
      <c r="C833" s="527"/>
      <c r="D833" s="527"/>
    </row>
    <row r="834">
      <c r="C834" s="527"/>
      <c r="D834" s="527"/>
    </row>
    <row r="835">
      <c r="C835" s="527"/>
      <c r="D835" s="527"/>
    </row>
    <row r="836">
      <c r="C836" s="527"/>
      <c r="D836" s="527"/>
    </row>
    <row r="837">
      <c r="C837" s="527"/>
      <c r="D837" s="527"/>
    </row>
    <row r="838">
      <c r="C838" s="527"/>
      <c r="D838" s="527"/>
    </row>
    <row r="839">
      <c r="C839" s="527"/>
      <c r="D839" s="527"/>
    </row>
    <row r="840">
      <c r="C840" s="527"/>
      <c r="D840" s="527"/>
    </row>
    <row r="841">
      <c r="C841" s="527"/>
      <c r="D841" s="527"/>
    </row>
    <row r="842">
      <c r="C842" s="527"/>
      <c r="D842" s="527"/>
    </row>
    <row r="843">
      <c r="C843" s="527"/>
      <c r="D843" s="527"/>
    </row>
    <row r="844">
      <c r="C844" s="527"/>
      <c r="D844" s="527"/>
    </row>
    <row r="845">
      <c r="C845" s="527"/>
      <c r="D845" s="527"/>
    </row>
    <row r="846">
      <c r="C846" s="527"/>
      <c r="D846" s="527"/>
    </row>
    <row r="847">
      <c r="C847" s="527"/>
      <c r="D847" s="527"/>
    </row>
    <row r="848">
      <c r="C848" s="527"/>
      <c r="D848" s="527"/>
    </row>
    <row r="849">
      <c r="C849" s="527"/>
      <c r="D849" s="527"/>
    </row>
    <row r="850">
      <c r="C850" s="527"/>
      <c r="D850" s="527"/>
    </row>
    <row r="851">
      <c r="C851" s="527"/>
      <c r="D851" s="527"/>
    </row>
    <row r="852">
      <c r="C852" s="527"/>
      <c r="D852" s="527"/>
    </row>
    <row r="853">
      <c r="C853" s="527"/>
      <c r="D853" s="527"/>
    </row>
    <row r="854">
      <c r="C854" s="527"/>
      <c r="D854" s="527"/>
    </row>
    <row r="855">
      <c r="C855" s="527"/>
      <c r="D855" s="527"/>
    </row>
    <row r="856">
      <c r="C856" s="527"/>
      <c r="D856" s="527"/>
    </row>
    <row r="857">
      <c r="C857" s="527"/>
      <c r="D857" s="527"/>
    </row>
    <row r="858">
      <c r="C858" s="527"/>
      <c r="D858" s="527"/>
    </row>
    <row r="859">
      <c r="C859" s="527"/>
      <c r="D859" s="527"/>
    </row>
    <row r="860">
      <c r="C860" s="527"/>
      <c r="D860" s="527"/>
    </row>
    <row r="861">
      <c r="C861" s="527"/>
      <c r="D861" s="527"/>
    </row>
    <row r="862">
      <c r="C862" s="527"/>
      <c r="D862" s="527"/>
    </row>
    <row r="863">
      <c r="C863" s="527"/>
      <c r="D863" s="527"/>
    </row>
    <row r="864">
      <c r="C864" s="527"/>
      <c r="D864" s="527"/>
    </row>
    <row r="865">
      <c r="C865" s="527"/>
      <c r="D865" s="527"/>
    </row>
    <row r="866">
      <c r="C866" s="527"/>
      <c r="D866" s="527"/>
    </row>
    <row r="867">
      <c r="C867" s="527"/>
      <c r="D867" s="527"/>
    </row>
    <row r="868">
      <c r="C868" s="527"/>
      <c r="D868" s="527"/>
    </row>
    <row r="869">
      <c r="C869" s="527"/>
      <c r="D869" s="527"/>
    </row>
    <row r="870">
      <c r="C870" s="527"/>
      <c r="D870" s="527"/>
    </row>
    <row r="871">
      <c r="C871" s="527"/>
      <c r="D871" s="527"/>
    </row>
    <row r="872">
      <c r="C872" s="527"/>
      <c r="D872" s="527"/>
    </row>
    <row r="873">
      <c r="C873" s="527"/>
      <c r="D873" s="527"/>
    </row>
    <row r="874">
      <c r="C874" s="527"/>
      <c r="D874" s="527"/>
    </row>
    <row r="875">
      <c r="C875" s="527"/>
      <c r="D875" s="527"/>
    </row>
    <row r="876">
      <c r="C876" s="527"/>
      <c r="D876" s="527"/>
    </row>
    <row r="877">
      <c r="C877" s="527"/>
      <c r="D877" s="527"/>
    </row>
    <row r="878">
      <c r="C878" s="527"/>
      <c r="D878" s="527"/>
    </row>
    <row r="879">
      <c r="C879" s="527"/>
      <c r="D879" s="527"/>
    </row>
    <row r="880">
      <c r="C880" s="527"/>
      <c r="D880" s="527"/>
    </row>
    <row r="881">
      <c r="C881" s="527"/>
      <c r="D881" s="527"/>
    </row>
    <row r="882">
      <c r="C882" s="527"/>
      <c r="D882" s="527"/>
    </row>
    <row r="883">
      <c r="C883" s="527"/>
      <c r="D883" s="527"/>
    </row>
    <row r="884">
      <c r="C884" s="527"/>
      <c r="D884" s="527"/>
    </row>
    <row r="885">
      <c r="C885" s="527"/>
      <c r="D885" s="527"/>
    </row>
    <row r="886">
      <c r="C886" s="527"/>
      <c r="D886" s="527"/>
    </row>
    <row r="887">
      <c r="C887" s="527"/>
      <c r="D887" s="527"/>
    </row>
    <row r="888">
      <c r="C888" s="527"/>
      <c r="D888" s="527"/>
    </row>
    <row r="889">
      <c r="C889" s="527"/>
      <c r="D889" s="527"/>
    </row>
    <row r="890">
      <c r="C890" s="527"/>
      <c r="D890" s="527"/>
    </row>
    <row r="891">
      <c r="C891" s="527"/>
      <c r="D891" s="527"/>
    </row>
    <row r="892">
      <c r="C892" s="527"/>
      <c r="D892" s="527"/>
    </row>
    <row r="893">
      <c r="C893" s="527"/>
      <c r="D893" s="527"/>
    </row>
    <row r="894">
      <c r="C894" s="527"/>
      <c r="D894" s="527"/>
    </row>
    <row r="895">
      <c r="C895" s="527"/>
      <c r="D895" s="527"/>
    </row>
    <row r="896">
      <c r="C896" s="527"/>
      <c r="D896" s="527"/>
    </row>
    <row r="897">
      <c r="C897" s="527"/>
      <c r="D897" s="527"/>
    </row>
    <row r="898">
      <c r="C898" s="527"/>
      <c r="D898" s="527"/>
    </row>
    <row r="899">
      <c r="C899" s="527"/>
      <c r="D899" s="527"/>
    </row>
    <row r="900">
      <c r="C900" s="527"/>
      <c r="D900" s="527"/>
    </row>
    <row r="901">
      <c r="C901" s="527"/>
      <c r="D901" s="527"/>
    </row>
    <row r="902">
      <c r="C902" s="527"/>
      <c r="D902" s="527"/>
    </row>
    <row r="903">
      <c r="C903" s="527"/>
      <c r="D903" s="527"/>
    </row>
    <row r="904">
      <c r="C904" s="527"/>
      <c r="D904" s="527"/>
    </row>
    <row r="905">
      <c r="C905" s="527"/>
      <c r="D905" s="527"/>
    </row>
    <row r="906">
      <c r="C906" s="527"/>
      <c r="D906" s="527"/>
    </row>
    <row r="907">
      <c r="C907" s="527"/>
      <c r="D907" s="527"/>
    </row>
    <row r="908">
      <c r="C908" s="527"/>
      <c r="D908" s="527"/>
    </row>
    <row r="909">
      <c r="C909" s="527"/>
      <c r="D909" s="527"/>
    </row>
    <row r="910">
      <c r="C910" s="527"/>
      <c r="D910" s="527"/>
    </row>
    <row r="911">
      <c r="C911" s="527"/>
      <c r="D911" s="527"/>
    </row>
    <row r="912">
      <c r="C912" s="527"/>
      <c r="D912" s="527"/>
    </row>
    <row r="913">
      <c r="C913" s="527"/>
      <c r="D913" s="527"/>
    </row>
    <row r="914">
      <c r="C914" s="527"/>
      <c r="D914" s="527"/>
    </row>
    <row r="915">
      <c r="C915" s="527"/>
      <c r="D915" s="527"/>
    </row>
    <row r="916">
      <c r="C916" s="527"/>
      <c r="D916" s="527"/>
    </row>
    <row r="917">
      <c r="C917" s="527"/>
      <c r="D917" s="527"/>
    </row>
    <row r="918">
      <c r="C918" s="527"/>
      <c r="D918" s="527"/>
    </row>
    <row r="919">
      <c r="C919" s="527"/>
      <c r="D919" s="527"/>
    </row>
    <row r="920">
      <c r="C920" s="527"/>
      <c r="D920" s="527"/>
    </row>
    <row r="921">
      <c r="C921" s="527"/>
      <c r="D921" s="527"/>
    </row>
    <row r="922">
      <c r="C922" s="527"/>
      <c r="D922" s="527"/>
    </row>
    <row r="923">
      <c r="C923" s="527"/>
      <c r="D923" s="527"/>
    </row>
    <row r="924">
      <c r="C924" s="527"/>
      <c r="D924" s="527"/>
    </row>
    <row r="925">
      <c r="C925" s="527"/>
      <c r="D925" s="527"/>
    </row>
    <row r="926">
      <c r="C926" s="527"/>
      <c r="D926" s="527"/>
    </row>
    <row r="927">
      <c r="C927" s="527"/>
      <c r="D927" s="527"/>
    </row>
    <row r="928">
      <c r="C928" s="527"/>
      <c r="D928" s="527"/>
    </row>
    <row r="929">
      <c r="C929" s="527"/>
      <c r="D929" s="527"/>
    </row>
    <row r="930">
      <c r="C930" s="527"/>
      <c r="D930" s="527"/>
    </row>
    <row r="931">
      <c r="C931" s="527"/>
      <c r="D931" s="527"/>
    </row>
    <row r="932">
      <c r="C932" s="527"/>
      <c r="D932" s="527"/>
    </row>
    <row r="933">
      <c r="C933" s="527"/>
      <c r="D933" s="527"/>
    </row>
    <row r="934">
      <c r="C934" s="527"/>
      <c r="D934" s="527"/>
    </row>
    <row r="935">
      <c r="C935" s="527"/>
      <c r="D935" s="527"/>
    </row>
    <row r="936">
      <c r="C936" s="527"/>
      <c r="D936" s="527"/>
    </row>
    <row r="937">
      <c r="C937" s="527"/>
      <c r="D937" s="527"/>
    </row>
    <row r="938">
      <c r="C938" s="527"/>
      <c r="D938" s="527"/>
    </row>
    <row r="939">
      <c r="C939" s="527"/>
      <c r="D939" s="527"/>
    </row>
    <row r="940">
      <c r="C940" s="527"/>
      <c r="D940" s="527"/>
    </row>
    <row r="941">
      <c r="C941" s="527"/>
      <c r="D941" s="527"/>
    </row>
    <row r="942">
      <c r="C942" s="527"/>
      <c r="D942" s="527"/>
    </row>
    <row r="943">
      <c r="C943" s="527"/>
      <c r="D943" s="527"/>
    </row>
    <row r="944">
      <c r="C944" s="527"/>
      <c r="D944" s="527"/>
    </row>
    <row r="945">
      <c r="C945" s="527"/>
      <c r="D945" s="527"/>
    </row>
    <row r="946">
      <c r="C946" s="527"/>
      <c r="D946" s="527"/>
    </row>
    <row r="947">
      <c r="C947" s="527"/>
      <c r="D947" s="527"/>
    </row>
    <row r="948">
      <c r="C948" s="527"/>
      <c r="D948" s="527"/>
    </row>
    <row r="949">
      <c r="C949" s="527"/>
      <c r="D949" s="527"/>
    </row>
    <row r="950">
      <c r="C950" s="527"/>
      <c r="D950" s="527"/>
    </row>
    <row r="951">
      <c r="C951" s="527"/>
      <c r="D951" s="527"/>
    </row>
    <row r="952">
      <c r="C952" s="527"/>
      <c r="D952" s="527"/>
    </row>
    <row r="953">
      <c r="C953" s="527"/>
      <c r="D953" s="527"/>
    </row>
    <row r="954">
      <c r="C954" s="527"/>
      <c r="D954" s="527"/>
    </row>
    <row r="955">
      <c r="C955" s="527"/>
      <c r="D955" s="527"/>
    </row>
    <row r="956">
      <c r="C956" s="527"/>
      <c r="D956" s="527"/>
    </row>
    <row r="957">
      <c r="C957" s="527"/>
      <c r="D957" s="527"/>
    </row>
    <row r="958">
      <c r="C958" s="527"/>
      <c r="D958" s="527"/>
    </row>
    <row r="959">
      <c r="C959" s="527"/>
      <c r="D959" s="527"/>
    </row>
    <row r="960">
      <c r="C960" s="527"/>
      <c r="D960" s="527"/>
    </row>
    <row r="961">
      <c r="C961" s="527"/>
      <c r="D961" s="527"/>
    </row>
    <row r="962">
      <c r="C962" s="527"/>
      <c r="D962" s="527"/>
    </row>
    <row r="963">
      <c r="C963" s="527"/>
      <c r="D963" s="527"/>
    </row>
    <row r="964">
      <c r="C964" s="527"/>
      <c r="D964" s="527"/>
    </row>
    <row r="965">
      <c r="C965" s="527"/>
      <c r="D965" s="527"/>
    </row>
    <row r="966">
      <c r="C966" s="527"/>
      <c r="D966" s="527"/>
    </row>
    <row r="967">
      <c r="C967" s="527"/>
      <c r="D967" s="527"/>
    </row>
    <row r="968">
      <c r="C968" s="527"/>
      <c r="D968" s="527"/>
    </row>
    <row r="969">
      <c r="C969" s="527"/>
      <c r="D969" s="527"/>
    </row>
    <row r="970">
      <c r="C970" s="527"/>
      <c r="D970" s="527"/>
    </row>
    <row r="971">
      <c r="C971" s="527"/>
      <c r="D971" s="527"/>
    </row>
    <row r="972">
      <c r="C972" s="527"/>
      <c r="D972" s="527"/>
    </row>
    <row r="973">
      <c r="C973" s="527"/>
      <c r="D973" s="527"/>
    </row>
    <row r="974">
      <c r="C974" s="527"/>
      <c r="D974" s="527"/>
    </row>
    <row r="975">
      <c r="C975" s="527"/>
      <c r="D975" s="527"/>
    </row>
    <row r="976">
      <c r="C976" s="527"/>
      <c r="D976" s="527"/>
    </row>
    <row r="977">
      <c r="C977" s="527"/>
      <c r="D977" s="527"/>
    </row>
    <row r="978">
      <c r="C978" s="527"/>
      <c r="D978" s="527"/>
    </row>
    <row r="979">
      <c r="C979" s="527"/>
      <c r="D979" s="527"/>
    </row>
    <row r="980">
      <c r="C980" s="527"/>
      <c r="D980" s="527"/>
    </row>
    <row r="981">
      <c r="C981" s="527"/>
      <c r="D981" s="527"/>
    </row>
    <row r="982">
      <c r="C982" s="527"/>
      <c r="D982" s="527"/>
    </row>
    <row r="983">
      <c r="C983" s="527"/>
      <c r="D983" s="527"/>
    </row>
    <row r="984">
      <c r="C984" s="527"/>
      <c r="D984" s="527"/>
    </row>
    <row r="985">
      <c r="C985" s="527"/>
      <c r="D985" s="527"/>
    </row>
    <row r="986">
      <c r="C986" s="527"/>
      <c r="D986" s="527"/>
    </row>
    <row r="987">
      <c r="C987" s="527"/>
      <c r="D987" s="527"/>
    </row>
    <row r="988">
      <c r="C988" s="527"/>
      <c r="D988" s="527"/>
    </row>
    <row r="989">
      <c r="C989" s="527"/>
      <c r="D989" s="527"/>
    </row>
    <row r="990">
      <c r="C990" s="527"/>
      <c r="D990" s="527"/>
    </row>
    <row r="991">
      <c r="C991" s="527"/>
      <c r="D991" s="527"/>
    </row>
    <row r="992">
      <c r="C992" s="527"/>
      <c r="D992" s="527"/>
    </row>
    <row r="993">
      <c r="C993" s="527"/>
      <c r="D993" s="527"/>
    </row>
    <row r="994">
      <c r="C994" s="527"/>
      <c r="D994" s="527"/>
    </row>
    <row r="995">
      <c r="C995" s="527"/>
      <c r="D995" s="527"/>
    </row>
    <row r="996">
      <c r="C996" s="527"/>
      <c r="D996" s="527"/>
    </row>
    <row r="997">
      <c r="C997" s="527"/>
      <c r="D997" s="527"/>
    </row>
    <row r="998">
      <c r="C998" s="527"/>
      <c r="D998" s="527"/>
    </row>
    <row r="999">
      <c r="C999" s="527"/>
      <c r="D999" s="527"/>
    </row>
    <row r="1000">
      <c r="C1000" s="527"/>
      <c r="D1000" s="527"/>
    </row>
  </sheetData>
  <mergeCells count="21">
    <mergeCell ref="A2:A3"/>
    <mergeCell ref="A4:A5"/>
    <mergeCell ref="A6:A7"/>
    <mergeCell ref="A8:A9"/>
    <mergeCell ref="A10:A12"/>
    <mergeCell ref="F10:F11"/>
    <mergeCell ref="A13:A14"/>
    <mergeCell ref="A30:A31"/>
    <mergeCell ref="A32:A33"/>
    <mergeCell ref="A35:A36"/>
    <mergeCell ref="A37:A38"/>
    <mergeCell ref="A39:A40"/>
    <mergeCell ref="A43:A44"/>
    <mergeCell ref="A45:A46"/>
    <mergeCell ref="A15:A16"/>
    <mergeCell ref="A17:A18"/>
    <mergeCell ref="A19:A20"/>
    <mergeCell ref="A21:A22"/>
    <mergeCell ref="A23:A24"/>
    <mergeCell ref="A25:A26"/>
    <mergeCell ref="A28:A2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4.88"/>
    <col customWidth="1" min="2" max="2" width="10.25"/>
    <col customWidth="1" min="3" max="3" width="10.63"/>
    <col customWidth="1" min="4" max="4" width="11.0"/>
    <col customWidth="1" min="5" max="5" width="9.13"/>
    <col customWidth="1" min="6" max="6" width="10.13"/>
  </cols>
  <sheetData>
    <row r="1">
      <c r="A1" s="528" t="s">
        <v>622</v>
      </c>
      <c r="B1" s="11"/>
      <c r="C1" s="11"/>
      <c r="D1" s="11"/>
      <c r="E1" s="11"/>
      <c r="F1" s="12"/>
      <c r="G1" s="529"/>
      <c r="H1" s="529"/>
      <c r="I1" s="529"/>
      <c r="J1" s="529"/>
      <c r="K1" s="529"/>
    </row>
    <row r="2">
      <c r="A2" s="530" t="s">
        <v>0</v>
      </c>
      <c r="B2" s="531" t="s">
        <v>623</v>
      </c>
      <c r="C2" s="532" t="s">
        <v>624</v>
      </c>
      <c r="D2" s="533" t="s">
        <v>489</v>
      </c>
      <c r="E2" s="534" t="s">
        <v>501</v>
      </c>
      <c r="F2" s="535" t="s">
        <v>625</v>
      </c>
    </row>
    <row r="3">
      <c r="A3" s="536"/>
      <c r="B3" s="537" t="s">
        <v>496</v>
      </c>
      <c r="C3" s="538" t="s">
        <v>626</v>
      </c>
      <c r="D3" s="539" t="s">
        <v>627</v>
      </c>
      <c r="E3" s="540"/>
      <c r="F3" s="541"/>
    </row>
    <row r="4">
      <c r="A4" s="542" t="s">
        <v>503</v>
      </c>
      <c r="B4" s="460">
        <v>7900.0</v>
      </c>
      <c r="C4" s="543" t="s">
        <v>514</v>
      </c>
      <c r="D4" s="477" t="s">
        <v>628</v>
      </c>
      <c r="E4" s="544">
        <v>50.0</v>
      </c>
      <c r="F4" s="545" t="s">
        <v>508</v>
      </c>
    </row>
    <row r="5">
      <c r="A5" s="542" t="s">
        <v>509</v>
      </c>
      <c r="B5" s="467">
        <v>7000.0</v>
      </c>
      <c r="C5" s="546" t="s">
        <v>511</v>
      </c>
      <c r="D5" s="473" t="s">
        <v>629</v>
      </c>
      <c r="E5" s="545" t="s">
        <v>98</v>
      </c>
      <c r="F5" s="470" t="s">
        <v>98</v>
      </c>
    </row>
    <row r="6">
      <c r="A6" s="542" t="s">
        <v>513</v>
      </c>
      <c r="B6" s="467">
        <v>7000.0</v>
      </c>
      <c r="C6" s="546" t="s">
        <v>511</v>
      </c>
      <c r="D6" s="473" t="s">
        <v>630</v>
      </c>
      <c r="E6" s="545" t="s">
        <v>98</v>
      </c>
      <c r="F6" s="470" t="s">
        <v>98</v>
      </c>
    </row>
    <row r="7">
      <c r="A7" s="547" t="s">
        <v>515</v>
      </c>
      <c r="B7" s="467">
        <v>7000.0</v>
      </c>
      <c r="C7" s="546" t="s">
        <v>631</v>
      </c>
      <c r="D7" s="473" t="s">
        <v>630</v>
      </c>
      <c r="E7" s="545" t="s">
        <v>98</v>
      </c>
      <c r="F7" s="470" t="s">
        <v>98</v>
      </c>
    </row>
    <row r="8">
      <c r="A8" s="542" t="s">
        <v>518</v>
      </c>
      <c r="B8" s="467">
        <v>7000.0</v>
      </c>
      <c r="C8" s="546" t="s">
        <v>631</v>
      </c>
      <c r="D8" s="473" t="s">
        <v>632</v>
      </c>
      <c r="E8" s="545" t="s">
        <v>98</v>
      </c>
      <c r="F8" s="470" t="s">
        <v>98</v>
      </c>
    </row>
    <row r="9">
      <c r="A9" s="542" t="s">
        <v>521</v>
      </c>
      <c r="B9" s="460">
        <v>7900.0</v>
      </c>
      <c r="C9" s="543" t="s">
        <v>511</v>
      </c>
      <c r="D9" s="477">
        <v>35.0</v>
      </c>
      <c r="E9" s="545" t="s">
        <v>98</v>
      </c>
      <c r="F9" s="548">
        <v>14.0</v>
      </c>
    </row>
    <row r="10">
      <c r="A10" s="547" t="s">
        <v>524</v>
      </c>
      <c r="B10" s="460">
        <v>7900.0</v>
      </c>
      <c r="C10" s="543" t="s">
        <v>511</v>
      </c>
      <c r="D10" s="477">
        <v>45.0</v>
      </c>
      <c r="E10" s="545" t="s">
        <v>98</v>
      </c>
      <c r="F10" s="548">
        <v>17.0</v>
      </c>
    </row>
    <row r="11">
      <c r="A11" s="547" t="s">
        <v>525</v>
      </c>
      <c r="B11" s="467">
        <v>7900.0</v>
      </c>
      <c r="C11" s="546" t="s">
        <v>511</v>
      </c>
      <c r="D11" s="473">
        <v>35.0</v>
      </c>
      <c r="E11" s="549">
        <v>40.0</v>
      </c>
      <c r="F11" s="468">
        <v>14.0</v>
      </c>
    </row>
    <row r="12">
      <c r="A12" s="547" t="s">
        <v>633</v>
      </c>
      <c r="B12" s="467">
        <v>7900.0</v>
      </c>
      <c r="C12" s="546" t="s">
        <v>511</v>
      </c>
      <c r="D12" s="473">
        <v>45.0</v>
      </c>
      <c r="E12" s="549">
        <v>45.0</v>
      </c>
      <c r="F12" s="468">
        <v>17.0</v>
      </c>
    </row>
    <row r="13">
      <c r="A13" s="547" t="s">
        <v>528</v>
      </c>
      <c r="B13" s="460" t="s">
        <v>529</v>
      </c>
      <c r="C13" s="543" t="s">
        <v>634</v>
      </c>
      <c r="D13" s="477">
        <v>85.0</v>
      </c>
      <c r="E13" s="550">
        <v>45.0</v>
      </c>
      <c r="F13" s="548">
        <v>17.0</v>
      </c>
    </row>
    <row r="14">
      <c r="A14" s="547" t="s">
        <v>531</v>
      </c>
      <c r="B14" s="460">
        <v>9500.0</v>
      </c>
      <c r="C14" s="543" t="s">
        <v>634</v>
      </c>
      <c r="D14" s="477" t="s">
        <v>635</v>
      </c>
      <c r="E14" s="550">
        <v>45.0</v>
      </c>
      <c r="F14" s="548">
        <v>17.0</v>
      </c>
    </row>
    <row r="15">
      <c r="A15" s="547" t="s">
        <v>533</v>
      </c>
      <c r="B15" s="460">
        <v>9500.0</v>
      </c>
      <c r="C15" s="543" t="s">
        <v>634</v>
      </c>
      <c r="D15" s="477" t="s">
        <v>636</v>
      </c>
      <c r="E15" s="550">
        <v>50.0</v>
      </c>
      <c r="F15" s="548">
        <v>17.0</v>
      </c>
    </row>
    <row r="16">
      <c r="A16" s="547" t="s">
        <v>535</v>
      </c>
      <c r="B16" s="460">
        <v>9500.0</v>
      </c>
      <c r="C16" s="543" t="s">
        <v>514</v>
      </c>
      <c r="D16" s="477">
        <v>60.0</v>
      </c>
      <c r="E16" s="550">
        <v>50.0</v>
      </c>
      <c r="F16" s="548">
        <v>17.0</v>
      </c>
    </row>
    <row r="17">
      <c r="A17" s="547" t="s">
        <v>637</v>
      </c>
      <c r="B17" s="467">
        <v>10000.0</v>
      </c>
      <c r="C17" s="546" t="s">
        <v>517</v>
      </c>
      <c r="D17" s="473" t="s">
        <v>638</v>
      </c>
      <c r="E17" s="549">
        <v>55.0</v>
      </c>
      <c r="F17" s="468">
        <v>22.0</v>
      </c>
    </row>
    <row r="18">
      <c r="A18" s="547" t="s">
        <v>541</v>
      </c>
      <c r="B18" s="467">
        <v>10000.0</v>
      </c>
      <c r="C18" s="546" t="s">
        <v>628</v>
      </c>
      <c r="D18" s="473" t="s">
        <v>639</v>
      </c>
      <c r="E18" s="549">
        <v>65.0</v>
      </c>
      <c r="F18" s="468">
        <v>22.0</v>
      </c>
    </row>
    <row r="19">
      <c r="A19" s="542" t="s">
        <v>544</v>
      </c>
      <c r="B19" s="467">
        <v>10000.0</v>
      </c>
      <c r="C19" s="546" t="s">
        <v>520</v>
      </c>
      <c r="D19" s="473" t="s">
        <v>640</v>
      </c>
      <c r="E19" s="549">
        <v>70.0</v>
      </c>
      <c r="F19" s="468">
        <v>25.0</v>
      </c>
    </row>
    <row r="20">
      <c r="A20" s="547" t="s">
        <v>546</v>
      </c>
      <c r="B20" s="460">
        <v>10900.0</v>
      </c>
      <c r="C20" s="551" t="s">
        <v>517</v>
      </c>
      <c r="D20" s="551" t="s">
        <v>508</v>
      </c>
      <c r="E20" s="545" t="s">
        <v>508</v>
      </c>
      <c r="F20" s="548">
        <v>25.0</v>
      </c>
    </row>
    <row r="21">
      <c r="A21" s="547" t="s">
        <v>550</v>
      </c>
      <c r="B21" s="460">
        <v>10900.0</v>
      </c>
      <c r="C21" s="543" t="s">
        <v>517</v>
      </c>
      <c r="D21" s="477" t="s">
        <v>641</v>
      </c>
      <c r="E21" s="550">
        <v>65.0</v>
      </c>
      <c r="F21" s="548">
        <v>25.0</v>
      </c>
    </row>
    <row r="22">
      <c r="A22" s="547" t="s">
        <v>553</v>
      </c>
      <c r="B22" s="460">
        <v>10900.0</v>
      </c>
      <c r="C22" s="543" t="s">
        <v>517</v>
      </c>
      <c r="D22" s="477" t="s">
        <v>642</v>
      </c>
      <c r="E22" s="550">
        <v>70.0</v>
      </c>
      <c r="F22" s="548">
        <v>25.0</v>
      </c>
    </row>
    <row r="23">
      <c r="A23" s="547" t="s">
        <v>555</v>
      </c>
      <c r="B23" s="460">
        <v>10900.0</v>
      </c>
      <c r="C23" s="543" t="s">
        <v>643</v>
      </c>
      <c r="D23" s="477" t="s">
        <v>644</v>
      </c>
      <c r="E23" s="550">
        <v>75.0</v>
      </c>
      <c r="F23" s="548">
        <v>27.0</v>
      </c>
    </row>
    <row r="24">
      <c r="A24" s="547" t="s">
        <v>558</v>
      </c>
      <c r="B24" s="467">
        <v>11900.0</v>
      </c>
      <c r="C24" s="546" t="s">
        <v>645</v>
      </c>
      <c r="D24" s="551" t="s">
        <v>508</v>
      </c>
      <c r="E24" s="545" t="s">
        <v>508</v>
      </c>
      <c r="F24" s="468">
        <v>27.0</v>
      </c>
    </row>
    <row r="25">
      <c r="A25" s="547" t="s">
        <v>561</v>
      </c>
      <c r="B25" s="552">
        <v>11900.0</v>
      </c>
      <c r="C25" s="546" t="s">
        <v>646</v>
      </c>
      <c r="D25" s="473" t="s">
        <v>647</v>
      </c>
      <c r="E25" s="549">
        <v>70.0</v>
      </c>
      <c r="F25" s="468">
        <v>27.0</v>
      </c>
    </row>
    <row r="26">
      <c r="A26" s="547" t="s">
        <v>562</v>
      </c>
      <c r="B26" s="552">
        <v>11900.0</v>
      </c>
      <c r="C26" s="546" t="s">
        <v>648</v>
      </c>
      <c r="D26" s="551" t="s">
        <v>508</v>
      </c>
      <c r="E26" s="549">
        <v>75.0</v>
      </c>
      <c r="F26" s="468">
        <v>27.0</v>
      </c>
    </row>
    <row r="27">
      <c r="A27" s="547" t="s">
        <v>565</v>
      </c>
      <c r="B27" s="552">
        <v>11900.0</v>
      </c>
      <c r="C27" s="546" t="s">
        <v>649</v>
      </c>
      <c r="D27" s="551" t="s">
        <v>508</v>
      </c>
      <c r="E27" s="549">
        <v>80.0</v>
      </c>
      <c r="F27" s="468">
        <v>32.0</v>
      </c>
    </row>
    <row r="28">
      <c r="A28" s="553">
        <v>14.0</v>
      </c>
      <c r="B28" s="460">
        <v>12900.0</v>
      </c>
      <c r="C28" s="543" t="s">
        <v>650</v>
      </c>
      <c r="D28" s="551" t="s">
        <v>508</v>
      </c>
      <c r="E28" s="550">
        <v>80.0</v>
      </c>
      <c r="F28" s="545" t="s">
        <v>508</v>
      </c>
    </row>
    <row r="29">
      <c r="A29" s="553" t="s">
        <v>568</v>
      </c>
      <c r="B29" s="460">
        <v>12900.0</v>
      </c>
      <c r="C29" s="543" t="s">
        <v>651</v>
      </c>
      <c r="D29" s="551" t="s">
        <v>508</v>
      </c>
      <c r="E29" s="550">
        <v>80.0</v>
      </c>
      <c r="F29" s="545" t="s">
        <v>508</v>
      </c>
    </row>
    <row r="30">
      <c r="A30" s="553" t="s">
        <v>570</v>
      </c>
      <c r="B30" s="460">
        <v>12900.0</v>
      </c>
      <c r="C30" s="543" t="s">
        <v>652</v>
      </c>
      <c r="D30" s="551" t="s">
        <v>508</v>
      </c>
      <c r="E30" s="550">
        <v>85.0</v>
      </c>
      <c r="F30" s="545" t="s">
        <v>508</v>
      </c>
    </row>
    <row r="31">
      <c r="A31" s="553" t="s">
        <v>572</v>
      </c>
      <c r="B31" s="460">
        <v>12900.0</v>
      </c>
      <c r="C31" s="543" t="s">
        <v>653</v>
      </c>
      <c r="D31" s="551" t="s">
        <v>508</v>
      </c>
      <c r="E31" s="550">
        <v>90.0</v>
      </c>
      <c r="F31" s="545" t="s">
        <v>508</v>
      </c>
    </row>
    <row r="32">
      <c r="A32" s="553">
        <v>15.0</v>
      </c>
      <c r="B32" s="467">
        <v>15000.0</v>
      </c>
      <c r="C32" s="543" t="s">
        <v>654</v>
      </c>
      <c r="D32" s="551" t="s">
        <v>508</v>
      </c>
      <c r="E32" s="545" t="s">
        <v>508</v>
      </c>
      <c r="F32" s="545" t="s">
        <v>508</v>
      </c>
    </row>
    <row r="33">
      <c r="A33" s="553" t="s">
        <v>576</v>
      </c>
      <c r="B33" s="467">
        <v>15000.0</v>
      </c>
      <c r="C33" s="543" t="s">
        <v>655</v>
      </c>
      <c r="D33" s="551" t="s">
        <v>508</v>
      </c>
      <c r="E33" s="545" t="s">
        <v>508</v>
      </c>
      <c r="F33" s="545" t="s">
        <v>508</v>
      </c>
    </row>
    <row r="34">
      <c r="A34" s="553" t="s">
        <v>578</v>
      </c>
      <c r="B34" s="467">
        <v>15000.0</v>
      </c>
      <c r="C34" s="543" t="s">
        <v>656</v>
      </c>
      <c r="D34" s="551" t="s">
        <v>508</v>
      </c>
      <c r="E34" s="545" t="s">
        <v>508</v>
      </c>
      <c r="F34" s="545" t="s">
        <v>508</v>
      </c>
    </row>
    <row r="35">
      <c r="A35" s="553" t="s">
        <v>579</v>
      </c>
      <c r="B35" s="467">
        <v>15000.0</v>
      </c>
      <c r="C35" s="543" t="s">
        <v>657</v>
      </c>
      <c r="D35" s="551" t="s">
        <v>508</v>
      </c>
      <c r="E35" s="545" t="s">
        <v>508</v>
      </c>
      <c r="F35" s="545" t="s">
        <v>508</v>
      </c>
    </row>
    <row r="36">
      <c r="A36" s="553">
        <v>16.0</v>
      </c>
      <c r="B36" s="460">
        <v>20000.0</v>
      </c>
      <c r="C36" s="543" t="s">
        <v>657</v>
      </c>
      <c r="D36" s="551" t="s">
        <v>508</v>
      </c>
      <c r="E36" s="551" t="s">
        <v>508</v>
      </c>
      <c r="F36" s="551" t="s">
        <v>508</v>
      </c>
    </row>
    <row r="37">
      <c r="A37" s="553" t="s">
        <v>581</v>
      </c>
      <c r="B37" s="460">
        <v>20000.0</v>
      </c>
      <c r="C37" s="543" t="s">
        <v>658</v>
      </c>
      <c r="D37" s="551" t="s">
        <v>508</v>
      </c>
      <c r="E37" s="551" t="s">
        <v>508</v>
      </c>
      <c r="F37" s="551" t="s">
        <v>508</v>
      </c>
    </row>
    <row r="38">
      <c r="A38" s="553" t="s">
        <v>582</v>
      </c>
      <c r="B38" s="460">
        <v>20000.0</v>
      </c>
      <c r="C38" s="543" t="s">
        <v>657</v>
      </c>
      <c r="D38" s="551" t="s">
        <v>508</v>
      </c>
      <c r="E38" s="551" t="s">
        <v>508</v>
      </c>
      <c r="F38" s="551" t="s">
        <v>508</v>
      </c>
    </row>
    <row r="39">
      <c r="A39" s="553" t="s">
        <v>583</v>
      </c>
      <c r="B39" s="460">
        <v>20000.0</v>
      </c>
      <c r="C39" s="543" t="s">
        <v>659</v>
      </c>
      <c r="D39" s="551" t="s">
        <v>508</v>
      </c>
      <c r="E39" s="551" t="s">
        <v>508</v>
      </c>
      <c r="F39" s="551" t="s">
        <v>508</v>
      </c>
    </row>
    <row r="40">
      <c r="B40" s="484"/>
      <c r="C40" s="554"/>
      <c r="E40" s="555"/>
    </row>
    <row r="41">
      <c r="A41" s="556" t="s">
        <v>660</v>
      </c>
      <c r="B41" s="557"/>
      <c r="C41" s="557"/>
      <c r="D41" s="557"/>
      <c r="E41" s="557"/>
      <c r="F41" s="558"/>
    </row>
    <row r="42">
      <c r="A42" s="559"/>
      <c r="B42" s="560"/>
      <c r="C42" s="560"/>
      <c r="D42" s="560"/>
      <c r="E42" s="560"/>
      <c r="F42" s="561"/>
    </row>
    <row r="43">
      <c r="B43" s="484"/>
      <c r="C43" s="554"/>
      <c r="E43" s="555"/>
    </row>
    <row r="44">
      <c r="B44" s="484"/>
      <c r="C44" s="554"/>
      <c r="E44" s="555"/>
    </row>
    <row r="45">
      <c r="B45" s="484"/>
      <c r="C45" s="554"/>
      <c r="E45" s="555"/>
    </row>
    <row r="46">
      <c r="B46" s="484"/>
      <c r="C46" s="554"/>
      <c r="E46" s="555"/>
    </row>
    <row r="47">
      <c r="B47" s="484"/>
      <c r="C47" s="554"/>
      <c r="E47" s="555"/>
    </row>
    <row r="48">
      <c r="B48" s="484"/>
      <c r="C48" s="554"/>
      <c r="E48" s="555"/>
    </row>
    <row r="49">
      <c r="B49" s="484"/>
      <c r="C49" s="554"/>
      <c r="E49" s="555"/>
    </row>
    <row r="50">
      <c r="B50" s="484"/>
      <c r="C50" s="554"/>
      <c r="E50" s="555"/>
    </row>
    <row r="51">
      <c r="B51" s="484"/>
      <c r="C51" s="554"/>
      <c r="E51" s="555"/>
    </row>
    <row r="52">
      <c r="B52" s="484"/>
      <c r="C52" s="554"/>
      <c r="E52" s="555"/>
    </row>
    <row r="53">
      <c r="B53" s="484"/>
      <c r="C53" s="554"/>
      <c r="E53" s="555"/>
    </row>
    <row r="54">
      <c r="B54" s="484"/>
      <c r="C54" s="554"/>
      <c r="E54" s="555"/>
    </row>
    <row r="55">
      <c r="B55" s="484"/>
      <c r="C55" s="554"/>
      <c r="E55" s="555"/>
    </row>
    <row r="56">
      <c r="B56" s="484"/>
      <c r="C56" s="554"/>
      <c r="E56" s="555"/>
    </row>
    <row r="57">
      <c r="B57" s="484"/>
      <c r="C57" s="554"/>
      <c r="E57" s="555"/>
    </row>
    <row r="58">
      <c r="B58" s="484"/>
      <c r="C58" s="554"/>
      <c r="E58" s="555"/>
    </row>
    <row r="59">
      <c r="B59" s="484"/>
      <c r="C59" s="554"/>
      <c r="E59" s="555"/>
    </row>
    <row r="60">
      <c r="B60" s="484"/>
      <c r="C60" s="554"/>
      <c r="E60" s="555"/>
    </row>
    <row r="61">
      <c r="B61" s="484"/>
      <c r="C61" s="554"/>
      <c r="E61" s="555"/>
    </row>
    <row r="62">
      <c r="B62" s="484"/>
      <c r="C62" s="554"/>
      <c r="E62" s="555"/>
    </row>
    <row r="63">
      <c r="B63" s="484"/>
      <c r="C63" s="554"/>
      <c r="E63" s="555"/>
    </row>
    <row r="64">
      <c r="B64" s="484"/>
      <c r="C64" s="554"/>
      <c r="E64" s="555"/>
    </row>
    <row r="65">
      <c r="B65" s="484"/>
      <c r="C65" s="554"/>
      <c r="E65" s="555"/>
    </row>
    <row r="66">
      <c r="B66" s="484"/>
      <c r="C66" s="554"/>
      <c r="E66" s="555"/>
    </row>
    <row r="67">
      <c r="B67" s="484"/>
      <c r="C67" s="554"/>
      <c r="E67" s="555"/>
    </row>
    <row r="68">
      <c r="B68" s="484"/>
      <c r="C68" s="554"/>
      <c r="E68" s="555"/>
    </row>
    <row r="69">
      <c r="B69" s="484"/>
      <c r="C69" s="554"/>
      <c r="E69" s="555"/>
    </row>
    <row r="70">
      <c r="B70" s="484"/>
      <c r="C70" s="554"/>
      <c r="E70" s="555"/>
    </row>
    <row r="71">
      <c r="B71" s="484"/>
      <c r="C71" s="554"/>
      <c r="E71" s="555"/>
    </row>
    <row r="72">
      <c r="B72" s="484"/>
      <c r="C72" s="554"/>
      <c r="E72" s="555"/>
    </row>
    <row r="73">
      <c r="B73" s="484"/>
      <c r="C73" s="554"/>
      <c r="E73" s="555"/>
    </row>
    <row r="74">
      <c r="B74" s="484"/>
      <c r="C74" s="554"/>
      <c r="E74" s="555"/>
    </row>
    <row r="75">
      <c r="B75" s="484"/>
      <c r="C75" s="554"/>
      <c r="E75" s="555"/>
    </row>
    <row r="76">
      <c r="B76" s="484"/>
      <c r="C76" s="554"/>
      <c r="E76" s="555"/>
    </row>
    <row r="77">
      <c r="B77" s="484"/>
      <c r="C77" s="554"/>
      <c r="E77" s="555"/>
    </row>
    <row r="78">
      <c r="B78" s="484"/>
      <c r="C78" s="554"/>
      <c r="E78" s="555"/>
    </row>
    <row r="79">
      <c r="B79" s="484"/>
      <c r="C79" s="554"/>
      <c r="E79" s="555"/>
    </row>
    <row r="80">
      <c r="B80" s="484"/>
      <c r="C80" s="554"/>
      <c r="E80" s="555"/>
    </row>
    <row r="81">
      <c r="B81" s="484"/>
      <c r="C81" s="554"/>
      <c r="E81" s="555"/>
    </row>
    <row r="82">
      <c r="B82" s="484"/>
      <c r="C82" s="554"/>
      <c r="E82" s="555"/>
    </row>
    <row r="83">
      <c r="B83" s="484"/>
      <c r="C83" s="554"/>
      <c r="E83" s="555"/>
    </row>
    <row r="84">
      <c r="B84" s="484"/>
      <c r="C84" s="554"/>
      <c r="E84" s="555"/>
    </row>
    <row r="85">
      <c r="B85" s="484"/>
      <c r="C85" s="554"/>
      <c r="E85" s="555"/>
    </row>
    <row r="86">
      <c r="B86" s="484"/>
      <c r="C86" s="554"/>
      <c r="E86" s="555"/>
    </row>
    <row r="87">
      <c r="B87" s="484"/>
      <c r="C87" s="554"/>
      <c r="E87" s="555"/>
    </row>
    <row r="88">
      <c r="B88" s="484"/>
      <c r="C88" s="554"/>
      <c r="E88" s="555"/>
    </row>
    <row r="89">
      <c r="B89" s="484"/>
      <c r="C89" s="554"/>
      <c r="E89" s="555"/>
    </row>
    <row r="90">
      <c r="B90" s="484"/>
      <c r="C90" s="554"/>
      <c r="E90" s="555"/>
    </row>
    <row r="91">
      <c r="B91" s="484"/>
      <c r="C91" s="554"/>
      <c r="E91" s="555"/>
    </row>
    <row r="92">
      <c r="B92" s="484"/>
      <c r="C92" s="554"/>
      <c r="E92" s="555"/>
    </row>
    <row r="93">
      <c r="B93" s="484"/>
      <c r="C93" s="554"/>
      <c r="E93" s="555"/>
    </row>
    <row r="94">
      <c r="B94" s="484"/>
      <c r="C94" s="554"/>
      <c r="E94" s="555"/>
    </row>
    <row r="95">
      <c r="B95" s="484"/>
      <c r="C95" s="554"/>
      <c r="E95" s="555"/>
    </row>
    <row r="96">
      <c r="B96" s="484"/>
      <c r="C96" s="554"/>
      <c r="E96" s="555"/>
    </row>
    <row r="97">
      <c r="B97" s="484"/>
      <c r="C97" s="554"/>
      <c r="E97" s="555"/>
    </row>
    <row r="98">
      <c r="B98" s="484"/>
      <c r="C98" s="554"/>
      <c r="E98" s="555"/>
    </row>
    <row r="99">
      <c r="B99" s="484"/>
      <c r="C99" s="554"/>
      <c r="E99" s="555"/>
    </row>
    <row r="100">
      <c r="B100" s="484"/>
      <c r="C100" s="554"/>
      <c r="E100" s="555"/>
    </row>
    <row r="101">
      <c r="B101" s="484"/>
      <c r="C101" s="554"/>
      <c r="E101" s="555"/>
    </row>
    <row r="102">
      <c r="B102" s="484"/>
      <c r="C102" s="554"/>
      <c r="E102" s="555"/>
    </row>
    <row r="103">
      <c r="B103" s="484"/>
      <c r="C103" s="554"/>
      <c r="E103" s="555"/>
    </row>
    <row r="104">
      <c r="B104" s="484"/>
      <c r="C104" s="554"/>
      <c r="E104" s="555"/>
    </row>
    <row r="105">
      <c r="B105" s="484"/>
      <c r="C105" s="554"/>
      <c r="E105" s="555"/>
    </row>
    <row r="106">
      <c r="B106" s="484"/>
      <c r="C106" s="554"/>
      <c r="E106" s="555"/>
    </row>
    <row r="107">
      <c r="B107" s="484"/>
      <c r="C107" s="554"/>
      <c r="E107" s="555"/>
    </row>
    <row r="108">
      <c r="B108" s="484"/>
      <c r="C108" s="554"/>
      <c r="E108" s="555"/>
    </row>
    <row r="109">
      <c r="B109" s="484"/>
      <c r="C109" s="554"/>
      <c r="E109" s="555"/>
    </row>
    <row r="110">
      <c r="B110" s="484"/>
      <c r="C110" s="554"/>
      <c r="E110" s="555"/>
    </row>
    <row r="111">
      <c r="B111" s="484"/>
      <c r="C111" s="554"/>
      <c r="E111" s="555"/>
    </row>
    <row r="112">
      <c r="B112" s="484"/>
      <c r="C112" s="554"/>
      <c r="E112" s="555"/>
    </row>
    <row r="113">
      <c r="B113" s="484"/>
      <c r="C113" s="554"/>
      <c r="E113" s="555"/>
    </row>
    <row r="114">
      <c r="B114" s="484"/>
      <c r="C114" s="554"/>
      <c r="E114" s="555"/>
    </row>
    <row r="115">
      <c r="B115" s="484"/>
      <c r="C115" s="554"/>
      <c r="E115" s="555"/>
    </row>
    <row r="116">
      <c r="B116" s="484"/>
      <c r="C116" s="554"/>
      <c r="E116" s="555"/>
    </row>
    <row r="117">
      <c r="B117" s="484"/>
      <c r="C117" s="554"/>
      <c r="E117" s="555"/>
    </row>
    <row r="118">
      <c r="B118" s="484"/>
      <c r="C118" s="554"/>
      <c r="E118" s="555"/>
    </row>
    <row r="119">
      <c r="B119" s="484"/>
      <c r="C119" s="554"/>
      <c r="E119" s="555"/>
    </row>
    <row r="120">
      <c r="B120" s="484"/>
      <c r="C120" s="554"/>
      <c r="E120" s="555"/>
    </row>
    <row r="121">
      <c r="B121" s="484"/>
      <c r="C121" s="554"/>
      <c r="E121" s="555"/>
    </row>
    <row r="122">
      <c r="B122" s="484"/>
      <c r="C122" s="554"/>
      <c r="E122" s="555"/>
    </row>
    <row r="123">
      <c r="B123" s="484"/>
      <c r="C123" s="554"/>
      <c r="E123" s="555"/>
    </row>
    <row r="124">
      <c r="B124" s="484"/>
      <c r="C124" s="554"/>
      <c r="E124" s="555"/>
    </row>
    <row r="125">
      <c r="B125" s="484"/>
      <c r="C125" s="554"/>
      <c r="E125" s="555"/>
    </row>
    <row r="126">
      <c r="B126" s="484"/>
      <c r="C126" s="554"/>
      <c r="E126" s="555"/>
    </row>
    <row r="127">
      <c r="B127" s="484"/>
      <c r="C127" s="554"/>
      <c r="E127" s="555"/>
    </row>
    <row r="128">
      <c r="B128" s="484"/>
      <c r="C128" s="554"/>
      <c r="E128" s="555"/>
    </row>
    <row r="129">
      <c r="B129" s="484"/>
      <c r="C129" s="554"/>
      <c r="E129" s="555"/>
    </row>
    <row r="130">
      <c r="B130" s="484"/>
      <c r="C130" s="554"/>
      <c r="E130" s="555"/>
    </row>
    <row r="131">
      <c r="B131" s="484"/>
      <c r="C131" s="554"/>
      <c r="E131" s="555"/>
    </row>
    <row r="132">
      <c r="B132" s="484"/>
      <c r="C132" s="554"/>
      <c r="E132" s="555"/>
    </row>
    <row r="133">
      <c r="B133" s="484"/>
      <c r="C133" s="554"/>
      <c r="E133" s="555"/>
    </row>
    <row r="134">
      <c r="B134" s="484"/>
      <c r="C134" s="554"/>
      <c r="E134" s="555"/>
    </row>
    <row r="135">
      <c r="B135" s="484"/>
      <c r="C135" s="554"/>
      <c r="E135" s="555"/>
    </row>
    <row r="136">
      <c r="B136" s="484"/>
      <c r="C136" s="554"/>
      <c r="E136" s="555"/>
    </row>
    <row r="137">
      <c r="B137" s="484"/>
      <c r="C137" s="554"/>
      <c r="E137" s="555"/>
    </row>
    <row r="138">
      <c r="B138" s="484"/>
      <c r="C138" s="554"/>
      <c r="E138" s="555"/>
    </row>
    <row r="139">
      <c r="B139" s="484"/>
      <c r="C139" s="554"/>
      <c r="E139" s="555"/>
    </row>
    <row r="140">
      <c r="B140" s="484"/>
      <c r="C140" s="554"/>
      <c r="E140" s="555"/>
    </row>
    <row r="141">
      <c r="B141" s="484"/>
      <c r="C141" s="554"/>
      <c r="E141" s="555"/>
    </row>
    <row r="142">
      <c r="B142" s="484"/>
      <c r="C142" s="554"/>
      <c r="E142" s="555"/>
    </row>
    <row r="143">
      <c r="B143" s="484"/>
      <c r="C143" s="554"/>
      <c r="E143" s="555"/>
    </row>
    <row r="144">
      <c r="B144" s="484"/>
      <c r="C144" s="554"/>
      <c r="E144" s="555"/>
    </row>
    <row r="145">
      <c r="B145" s="484"/>
      <c r="C145" s="554"/>
      <c r="E145" s="555"/>
    </row>
    <row r="146">
      <c r="B146" s="484"/>
      <c r="C146" s="554"/>
      <c r="E146" s="555"/>
    </row>
    <row r="147">
      <c r="B147" s="484"/>
      <c r="C147" s="554"/>
      <c r="E147" s="555"/>
    </row>
    <row r="148">
      <c r="B148" s="484"/>
      <c r="C148" s="554"/>
      <c r="E148" s="555"/>
    </row>
    <row r="149">
      <c r="B149" s="484"/>
      <c r="C149" s="554"/>
      <c r="E149" s="555"/>
    </row>
    <row r="150">
      <c r="B150" s="484"/>
      <c r="C150" s="554"/>
      <c r="E150" s="555"/>
    </row>
    <row r="151">
      <c r="B151" s="484"/>
      <c r="C151" s="554"/>
      <c r="E151" s="555"/>
    </row>
    <row r="152">
      <c r="B152" s="484"/>
      <c r="C152" s="554"/>
      <c r="E152" s="555"/>
    </row>
    <row r="153">
      <c r="B153" s="484"/>
      <c r="C153" s="554"/>
      <c r="E153" s="555"/>
    </row>
    <row r="154">
      <c r="B154" s="484"/>
      <c r="C154" s="554"/>
      <c r="E154" s="555"/>
    </row>
    <row r="155">
      <c r="B155" s="484"/>
      <c r="C155" s="554"/>
      <c r="E155" s="555"/>
    </row>
    <row r="156">
      <c r="B156" s="484"/>
      <c r="C156" s="554"/>
      <c r="E156" s="555"/>
    </row>
    <row r="157">
      <c r="B157" s="484"/>
      <c r="C157" s="554"/>
      <c r="E157" s="555"/>
    </row>
    <row r="158">
      <c r="B158" s="484"/>
      <c r="C158" s="554"/>
      <c r="E158" s="555"/>
    </row>
    <row r="159">
      <c r="B159" s="484"/>
      <c r="C159" s="554"/>
      <c r="E159" s="555"/>
    </row>
    <row r="160">
      <c r="B160" s="484"/>
      <c r="C160" s="554"/>
      <c r="E160" s="555"/>
    </row>
    <row r="161">
      <c r="B161" s="484"/>
      <c r="C161" s="554"/>
      <c r="E161" s="555"/>
    </row>
    <row r="162">
      <c r="B162" s="484"/>
      <c r="C162" s="554"/>
      <c r="E162" s="555"/>
    </row>
    <row r="163">
      <c r="B163" s="484"/>
      <c r="C163" s="554"/>
      <c r="E163" s="555"/>
    </row>
    <row r="164">
      <c r="B164" s="484"/>
      <c r="C164" s="554"/>
      <c r="E164" s="555"/>
    </row>
    <row r="165">
      <c r="B165" s="484"/>
      <c r="C165" s="554"/>
      <c r="E165" s="555"/>
    </row>
    <row r="166">
      <c r="B166" s="484"/>
      <c r="C166" s="554"/>
      <c r="E166" s="555"/>
    </row>
    <row r="167">
      <c r="B167" s="484"/>
      <c r="C167" s="554"/>
      <c r="E167" s="555"/>
    </row>
    <row r="168">
      <c r="B168" s="484"/>
      <c r="C168" s="554"/>
      <c r="E168" s="555"/>
    </row>
    <row r="169">
      <c r="B169" s="484"/>
      <c r="C169" s="554"/>
      <c r="E169" s="555"/>
    </row>
    <row r="170">
      <c r="B170" s="484"/>
      <c r="C170" s="554"/>
      <c r="E170" s="555"/>
    </row>
    <row r="171">
      <c r="B171" s="484"/>
      <c r="C171" s="554"/>
      <c r="E171" s="555"/>
    </row>
    <row r="172">
      <c r="B172" s="484"/>
      <c r="C172" s="554"/>
      <c r="E172" s="555"/>
    </row>
    <row r="173">
      <c r="B173" s="484"/>
      <c r="C173" s="554"/>
      <c r="E173" s="555"/>
    </row>
    <row r="174">
      <c r="B174" s="484"/>
      <c r="C174" s="554"/>
      <c r="E174" s="555"/>
    </row>
    <row r="175">
      <c r="B175" s="484"/>
      <c r="C175" s="554"/>
      <c r="E175" s="555"/>
    </row>
    <row r="176">
      <c r="B176" s="484"/>
      <c r="C176" s="554"/>
      <c r="E176" s="555"/>
    </row>
    <row r="177">
      <c r="B177" s="484"/>
      <c r="C177" s="554"/>
      <c r="E177" s="555"/>
    </row>
    <row r="178">
      <c r="B178" s="484"/>
      <c r="C178" s="554"/>
      <c r="E178" s="555"/>
    </row>
    <row r="179">
      <c r="B179" s="484"/>
      <c r="C179" s="554"/>
      <c r="E179" s="555"/>
    </row>
    <row r="180">
      <c r="B180" s="484"/>
      <c r="C180" s="554"/>
      <c r="E180" s="555"/>
    </row>
    <row r="181">
      <c r="B181" s="484"/>
      <c r="C181" s="554"/>
      <c r="E181" s="555"/>
    </row>
    <row r="182">
      <c r="B182" s="484"/>
      <c r="C182" s="554"/>
      <c r="E182" s="555"/>
    </row>
    <row r="183">
      <c r="B183" s="484"/>
      <c r="C183" s="554"/>
      <c r="E183" s="555"/>
    </row>
    <row r="184">
      <c r="B184" s="484"/>
      <c r="C184" s="554"/>
      <c r="E184" s="555"/>
    </row>
    <row r="185">
      <c r="B185" s="484"/>
      <c r="C185" s="554"/>
      <c r="E185" s="555"/>
    </row>
    <row r="186">
      <c r="B186" s="484"/>
      <c r="C186" s="554"/>
      <c r="E186" s="555"/>
    </row>
    <row r="187">
      <c r="B187" s="484"/>
      <c r="C187" s="554"/>
      <c r="E187" s="555"/>
    </row>
    <row r="188">
      <c r="B188" s="484"/>
      <c r="C188" s="554"/>
      <c r="E188" s="555"/>
    </row>
    <row r="189">
      <c r="B189" s="484"/>
      <c r="C189" s="554"/>
      <c r="E189" s="555"/>
    </row>
    <row r="190">
      <c r="B190" s="484"/>
      <c r="C190" s="554"/>
      <c r="E190" s="555"/>
    </row>
    <row r="191">
      <c r="B191" s="484"/>
      <c r="C191" s="554"/>
      <c r="E191" s="555"/>
    </row>
    <row r="192">
      <c r="B192" s="484"/>
      <c r="C192" s="554"/>
      <c r="E192" s="555"/>
    </row>
    <row r="193">
      <c r="B193" s="484"/>
      <c r="C193" s="554"/>
      <c r="E193" s="555"/>
    </row>
    <row r="194">
      <c r="B194" s="484"/>
      <c r="C194" s="554"/>
      <c r="E194" s="555"/>
    </row>
    <row r="195">
      <c r="B195" s="484"/>
      <c r="C195" s="554"/>
      <c r="E195" s="555"/>
    </row>
    <row r="196">
      <c r="B196" s="484"/>
      <c r="C196" s="554"/>
      <c r="E196" s="555"/>
    </row>
    <row r="197">
      <c r="B197" s="484"/>
      <c r="C197" s="554"/>
      <c r="E197" s="555"/>
    </row>
    <row r="198">
      <c r="B198" s="484"/>
      <c r="C198" s="554"/>
      <c r="E198" s="555"/>
    </row>
    <row r="199">
      <c r="B199" s="484"/>
      <c r="C199" s="554"/>
      <c r="E199" s="555"/>
    </row>
    <row r="200">
      <c r="B200" s="484"/>
      <c r="C200" s="554"/>
      <c r="E200" s="555"/>
    </row>
    <row r="201">
      <c r="B201" s="484"/>
      <c r="C201" s="554"/>
      <c r="E201" s="555"/>
    </row>
    <row r="202">
      <c r="B202" s="484"/>
      <c r="C202" s="554"/>
      <c r="E202" s="555"/>
    </row>
    <row r="203">
      <c r="B203" s="484"/>
      <c r="C203" s="554"/>
      <c r="E203" s="555"/>
    </row>
    <row r="204">
      <c r="B204" s="484"/>
      <c r="C204" s="554"/>
      <c r="E204" s="555"/>
    </row>
    <row r="205">
      <c r="B205" s="484"/>
      <c r="C205" s="554"/>
      <c r="E205" s="555"/>
    </row>
    <row r="206">
      <c r="B206" s="484"/>
      <c r="C206" s="554"/>
      <c r="E206" s="555"/>
    </row>
    <row r="207">
      <c r="B207" s="484"/>
      <c r="C207" s="554"/>
      <c r="E207" s="555"/>
    </row>
    <row r="208">
      <c r="B208" s="484"/>
      <c r="C208" s="554"/>
      <c r="E208" s="555"/>
    </row>
    <row r="209">
      <c r="B209" s="484"/>
      <c r="C209" s="554"/>
      <c r="E209" s="555"/>
    </row>
    <row r="210">
      <c r="B210" s="484"/>
      <c r="C210" s="554"/>
      <c r="E210" s="555"/>
    </row>
    <row r="211">
      <c r="B211" s="484"/>
      <c r="C211" s="554"/>
      <c r="E211" s="555"/>
    </row>
    <row r="212">
      <c r="B212" s="484"/>
      <c r="C212" s="554"/>
      <c r="E212" s="555"/>
    </row>
    <row r="213">
      <c r="B213" s="484"/>
      <c r="C213" s="554"/>
      <c r="E213" s="555"/>
    </row>
    <row r="214">
      <c r="B214" s="484"/>
      <c r="C214" s="554"/>
      <c r="E214" s="555"/>
    </row>
    <row r="215">
      <c r="B215" s="484"/>
      <c r="C215" s="554"/>
      <c r="E215" s="555"/>
    </row>
    <row r="216">
      <c r="B216" s="484"/>
      <c r="C216" s="554"/>
      <c r="E216" s="555"/>
    </row>
    <row r="217">
      <c r="B217" s="484"/>
      <c r="C217" s="554"/>
      <c r="E217" s="555"/>
    </row>
    <row r="218">
      <c r="B218" s="484"/>
      <c r="C218" s="554"/>
      <c r="E218" s="555"/>
    </row>
    <row r="219">
      <c r="B219" s="484"/>
      <c r="C219" s="554"/>
      <c r="E219" s="555"/>
    </row>
    <row r="220">
      <c r="B220" s="484"/>
      <c r="C220" s="554"/>
      <c r="E220" s="555"/>
    </row>
    <row r="221">
      <c r="B221" s="484"/>
      <c r="C221" s="554"/>
      <c r="E221" s="555"/>
    </row>
    <row r="222">
      <c r="B222" s="484"/>
      <c r="C222" s="554"/>
      <c r="E222" s="555"/>
    </row>
    <row r="223">
      <c r="B223" s="484"/>
      <c r="C223" s="554"/>
      <c r="E223" s="555"/>
    </row>
    <row r="224">
      <c r="B224" s="484"/>
      <c r="C224" s="554"/>
      <c r="E224" s="555"/>
    </row>
    <row r="225">
      <c r="B225" s="484"/>
      <c r="C225" s="554"/>
      <c r="E225" s="555"/>
    </row>
    <row r="226">
      <c r="B226" s="484"/>
      <c r="C226" s="554"/>
      <c r="E226" s="555"/>
    </row>
    <row r="227">
      <c r="B227" s="484"/>
      <c r="C227" s="554"/>
      <c r="E227" s="555"/>
    </row>
    <row r="228">
      <c r="B228" s="484"/>
      <c r="C228" s="554"/>
      <c r="E228" s="555"/>
    </row>
    <row r="229">
      <c r="B229" s="484"/>
      <c r="C229" s="554"/>
      <c r="E229" s="555"/>
    </row>
    <row r="230">
      <c r="B230" s="484"/>
      <c r="C230" s="554"/>
      <c r="E230" s="555"/>
    </row>
    <row r="231">
      <c r="B231" s="484"/>
      <c r="C231" s="554"/>
      <c r="E231" s="555"/>
    </row>
    <row r="232">
      <c r="B232" s="484"/>
      <c r="C232" s="554"/>
      <c r="E232" s="555"/>
    </row>
    <row r="233">
      <c r="B233" s="484"/>
      <c r="C233" s="554"/>
      <c r="E233" s="555"/>
    </row>
    <row r="234">
      <c r="B234" s="484"/>
      <c r="C234" s="554"/>
      <c r="E234" s="555"/>
    </row>
    <row r="235">
      <c r="B235" s="484"/>
      <c r="C235" s="554"/>
      <c r="E235" s="555"/>
    </row>
    <row r="236">
      <c r="B236" s="484"/>
      <c r="C236" s="554"/>
      <c r="E236" s="555"/>
    </row>
    <row r="237">
      <c r="B237" s="484"/>
      <c r="C237" s="554"/>
      <c r="E237" s="555"/>
    </row>
    <row r="238">
      <c r="B238" s="484"/>
      <c r="C238" s="554"/>
      <c r="E238" s="555"/>
    </row>
    <row r="239">
      <c r="B239" s="484"/>
      <c r="C239" s="554"/>
      <c r="E239" s="555"/>
    </row>
    <row r="240">
      <c r="B240" s="484"/>
      <c r="C240" s="554"/>
      <c r="E240" s="555"/>
    </row>
    <row r="241">
      <c r="B241" s="484"/>
      <c r="C241" s="554"/>
      <c r="E241" s="555"/>
    </row>
    <row r="242">
      <c r="B242" s="484"/>
      <c r="C242" s="554"/>
      <c r="E242" s="555"/>
    </row>
    <row r="243">
      <c r="B243" s="484"/>
      <c r="C243" s="554"/>
      <c r="E243" s="555"/>
    </row>
    <row r="244">
      <c r="B244" s="484"/>
      <c r="C244" s="554"/>
      <c r="E244" s="555"/>
    </row>
    <row r="245">
      <c r="B245" s="484"/>
      <c r="C245" s="554"/>
      <c r="E245" s="555"/>
    </row>
    <row r="246">
      <c r="B246" s="484"/>
      <c r="C246" s="554"/>
      <c r="E246" s="555"/>
    </row>
    <row r="247">
      <c r="B247" s="484"/>
      <c r="C247" s="554"/>
      <c r="E247" s="555"/>
    </row>
    <row r="248">
      <c r="B248" s="484"/>
      <c r="C248" s="554"/>
      <c r="E248" s="555"/>
    </row>
    <row r="249">
      <c r="B249" s="484"/>
      <c r="C249" s="554"/>
      <c r="E249" s="555"/>
    </row>
    <row r="250">
      <c r="B250" s="484"/>
      <c r="C250" s="554"/>
      <c r="E250" s="555"/>
    </row>
    <row r="251">
      <c r="B251" s="484"/>
      <c r="C251" s="554"/>
      <c r="E251" s="555"/>
    </row>
    <row r="252">
      <c r="B252" s="484"/>
      <c r="C252" s="554"/>
      <c r="E252" s="555"/>
    </row>
    <row r="253">
      <c r="B253" s="484"/>
      <c r="C253" s="554"/>
      <c r="E253" s="555"/>
    </row>
    <row r="254">
      <c r="B254" s="484"/>
      <c r="C254" s="554"/>
      <c r="E254" s="555"/>
    </row>
    <row r="255">
      <c r="B255" s="484"/>
      <c r="C255" s="554"/>
      <c r="E255" s="555"/>
    </row>
    <row r="256">
      <c r="B256" s="484"/>
      <c r="C256" s="554"/>
      <c r="E256" s="555"/>
    </row>
    <row r="257">
      <c r="B257" s="484"/>
      <c r="C257" s="554"/>
      <c r="E257" s="555"/>
    </row>
    <row r="258">
      <c r="B258" s="484"/>
      <c r="C258" s="554"/>
      <c r="E258" s="555"/>
    </row>
    <row r="259">
      <c r="B259" s="484"/>
      <c r="C259" s="554"/>
      <c r="E259" s="555"/>
    </row>
    <row r="260">
      <c r="B260" s="484"/>
      <c r="C260" s="554"/>
      <c r="E260" s="555"/>
    </row>
    <row r="261">
      <c r="B261" s="484"/>
      <c r="C261" s="554"/>
      <c r="E261" s="555"/>
    </row>
    <row r="262">
      <c r="B262" s="484"/>
      <c r="C262" s="554"/>
      <c r="E262" s="555"/>
    </row>
    <row r="263">
      <c r="B263" s="484"/>
      <c r="C263" s="554"/>
      <c r="E263" s="555"/>
    </row>
    <row r="264">
      <c r="B264" s="484"/>
      <c r="C264" s="554"/>
      <c r="E264" s="555"/>
    </row>
    <row r="265">
      <c r="B265" s="484"/>
      <c r="C265" s="554"/>
      <c r="E265" s="555"/>
    </row>
    <row r="266">
      <c r="B266" s="484"/>
      <c r="C266" s="554"/>
      <c r="E266" s="555"/>
    </row>
    <row r="267">
      <c r="B267" s="484"/>
      <c r="C267" s="554"/>
      <c r="E267" s="555"/>
    </row>
    <row r="268">
      <c r="B268" s="484"/>
      <c r="C268" s="554"/>
      <c r="E268" s="555"/>
    </row>
    <row r="269">
      <c r="B269" s="484"/>
      <c r="C269" s="554"/>
      <c r="E269" s="555"/>
    </row>
    <row r="270">
      <c r="B270" s="484"/>
      <c r="C270" s="554"/>
      <c r="E270" s="555"/>
    </row>
    <row r="271">
      <c r="B271" s="484"/>
      <c r="C271" s="554"/>
      <c r="E271" s="555"/>
    </row>
    <row r="272">
      <c r="B272" s="484"/>
      <c r="C272" s="554"/>
      <c r="E272" s="555"/>
    </row>
    <row r="273">
      <c r="B273" s="484"/>
      <c r="C273" s="554"/>
      <c r="E273" s="555"/>
    </row>
    <row r="274">
      <c r="B274" s="484"/>
      <c r="C274" s="554"/>
      <c r="E274" s="555"/>
    </row>
    <row r="275">
      <c r="B275" s="484"/>
      <c r="C275" s="554"/>
      <c r="E275" s="555"/>
    </row>
    <row r="276">
      <c r="B276" s="484"/>
      <c r="C276" s="554"/>
      <c r="E276" s="555"/>
    </row>
    <row r="277">
      <c r="B277" s="484"/>
      <c r="C277" s="554"/>
      <c r="E277" s="555"/>
    </row>
    <row r="278">
      <c r="B278" s="484"/>
      <c r="C278" s="554"/>
      <c r="E278" s="555"/>
    </row>
    <row r="279">
      <c r="B279" s="484"/>
      <c r="C279" s="554"/>
      <c r="E279" s="555"/>
    </row>
    <row r="280">
      <c r="B280" s="484"/>
      <c r="C280" s="554"/>
      <c r="E280" s="555"/>
    </row>
    <row r="281">
      <c r="B281" s="484"/>
      <c r="C281" s="554"/>
      <c r="E281" s="555"/>
    </row>
    <row r="282">
      <c r="B282" s="484"/>
      <c r="C282" s="554"/>
      <c r="E282" s="555"/>
    </row>
    <row r="283">
      <c r="B283" s="484"/>
      <c r="C283" s="554"/>
      <c r="E283" s="555"/>
    </row>
    <row r="284">
      <c r="B284" s="484"/>
      <c r="C284" s="554"/>
      <c r="E284" s="555"/>
    </row>
    <row r="285">
      <c r="B285" s="484"/>
      <c r="C285" s="554"/>
      <c r="E285" s="555"/>
    </row>
    <row r="286">
      <c r="B286" s="484"/>
      <c r="C286" s="554"/>
      <c r="E286" s="555"/>
    </row>
    <row r="287">
      <c r="B287" s="484"/>
      <c r="C287" s="554"/>
      <c r="E287" s="555"/>
    </row>
    <row r="288">
      <c r="B288" s="484"/>
      <c r="C288" s="554"/>
      <c r="E288" s="555"/>
    </row>
    <row r="289">
      <c r="B289" s="484"/>
      <c r="C289" s="554"/>
      <c r="E289" s="555"/>
    </row>
    <row r="290">
      <c r="B290" s="484"/>
      <c r="C290" s="554"/>
      <c r="E290" s="555"/>
    </row>
    <row r="291">
      <c r="B291" s="484"/>
      <c r="C291" s="554"/>
      <c r="E291" s="555"/>
    </row>
    <row r="292">
      <c r="B292" s="484"/>
      <c r="C292" s="554"/>
      <c r="E292" s="555"/>
    </row>
    <row r="293">
      <c r="B293" s="484"/>
      <c r="C293" s="554"/>
      <c r="E293" s="555"/>
    </row>
    <row r="294">
      <c r="B294" s="484"/>
      <c r="C294" s="554"/>
      <c r="E294" s="555"/>
    </row>
    <row r="295">
      <c r="B295" s="484"/>
      <c r="C295" s="554"/>
      <c r="E295" s="555"/>
    </row>
    <row r="296">
      <c r="B296" s="484"/>
      <c r="C296" s="554"/>
      <c r="E296" s="555"/>
    </row>
    <row r="297">
      <c r="B297" s="484"/>
      <c r="C297" s="554"/>
      <c r="E297" s="555"/>
    </row>
    <row r="298">
      <c r="B298" s="484"/>
      <c r="C298" s="554"/>
      <c r="E298" s="555"/>
    </row>
    <row r="299">
      <c r="B299" s="484"/>
      <c r="C299" s="554"/>
      <c r="E299" s="555"/>
    </row>
    <row r="300">
      <c r="B300" s="484"/>
      <c r="C300" s="554"/>
      <c r="E300" s="555"/>
    </row>
    <row r="301">
      <c r="B301" s="484"/>
      <c r="C301" s="554"/>
      <c r="E301" s="555"/>
    </row>
    <row r="302">
      <c r="B302" s="484"/>
      <c r="C302" s="554"/>
      <c r="E302" s="555"/>
    </row>
    <row r="303">
      <c r="B303" s="484"/>
      <c r="C303" s="554"/>
      <c r="E303" s="555"/>
    </row>
    <row r="304">
      <c r="B304" s="484"/>
      <c r="C304" s="554"/>
      <c r="E304" s="555"/>
    </row>
    <row r="305">
      <c r="B305" s="484"/>
      <c r="C305" s="554"/>
      <c r="E305" s="555"/>
    </row>
    <row r="306">
      <c r="B306" s="484"/>
      <c r="C306" s="554"/>
      <c r="E306" s="555"/>
    </row>
    <row r="307">
      <c r="B307" s="484"/>
      <c r="C307" s="554"/>
      <c r="E307" s="555"/>
    </row>
    <row r="308">
      <c r="B308" s="484"/>
      <c r="C308" s="554"/>
      <c r="E308" s="555"/>
    </row>
    <row r="309">
      <c r="B309" s="484"/>
      <c r="C309" s="554"/>
      <c r="E309" s="555"/>
    </row>
    <row r="310">
      <c r="B310" s="484"/>
      <c r="C310" s="554"/>
      <c r="E310" s="555"/>
    </row>
    <row r="311">
      <c r="B311" s="484"/>
      <c r="C311" s="554"/>
      <c r="E311" s="555"/>
    </row>
    <row r="312">
      <c r="B312" s="484"/>
      <c r="C312" s="554"/>
      <c r="E312" s="555"/>
    </row>
    <row r="313">
      <c r="B313" s="484"/>
      <c r="C313" s="554"/>
      <c r="E313" s="555"/>
    </row>
    <row r="314">
      <c r="B314" s="484"/>
      <c r="C314" s="554"/>
      <c r="E314" s="555"/>
    </row>
    <row r="315">
      <c r="B315" s="484"/>
      <c r="C315" s="554"/>
      <c r="E315" s="555"/>
    </row>
    <row r="316">
      <c r="B316" s="484"/>
      <c r="C316" s="554"/>
      <c r="E316" s="555"/>
    </row>
    <row r="317">
      <c r="B317" s="484"/>
      <c r="C317" s="554"/>
      <c r="E317" s="555"/>
    </row>
    <row r="318">
      <c r="B318" s="484"/>
      <c r="C318" s="554"/>
      <c r="E318" s="555"/>
    </row>
    <row r="319">
      <c r="B319" s="484"/>
      <c r="C319" s="554"/>
      <c r="E319" s="555"/>
    </row>
    <row r="320">
      <c r="B320" s="484"/>
      <c r="C320" s="554"/>
      <c r="E320" s="555"/>
    </row>
    <row r="321">
      <c r="B321" s="484"/>
      <c r="C321" s="554"/>
      <c r="E321" s="555"/>
    </row>
    <row r="322">
      <c r="B322" s="484"/>
      <c r="C322" s="554"/>
      <c r="E322" s="555"/>
    </row>
    <row r="323">
      <c r="B323" s="484"/>
      <c r="C323" s="554"/>
      <c r="E323" s="555"/>
    </row>
    <row r="324">
      <c r="B324" s="484"/>
      <c r="C324" s="554"/>
      <c r="E324" s="555"/>
    </row>
    <row r="325">
      <c r="B325" s="484"/>
      <c r="C325" s="554"/>
      <c r="E325" s="555"/>
    </row>
    <row r="326">
      <c r="B326" s="484"/>
      <c r="C326" s="554"/>
      <c r="E326" s="555"/>
    </row>
    <row r="327">
      <c r="B327" s="484"/>
      <c r="C327" s="554"/>
      <c r="E327" s="555"/>
    </row>
    <row r="328">
      <c r="B328" s="484"/>
      <c r="C328" s="554"/>
      <c r="E328" s="555"/>
    </row>
    <row r="329">
      <c r="B329" s="484"/>
      <c r="C329" s="554"/>
      <c r="E329" s="555"/>
    </row>
    <row r="330">
      <c r="B330" s="484"/>
      <c r="C330" s="554"/>
      <c r="E330" s="555"/>
    </row>
    <row r="331">
      <c r="B331" s="484"/>
      <c r="C331" s="554"/>
      <c r="E331" s="555"/>
    </row>
    <row r="332">
      <c r="B332" s="484"/>
      <c r="C332" s="554"/>
      <c r="E332" s="555"/>
    </row>
    <row r="333">
      <c r="B333" s="484"/>
      <c r="C333" s="554"/>
      <c r="E333" s="555"/>
    </row>
    <row r="334">
      <c r="B334" s="484"/>
      <c r="C334" s="554"/>
      <c r="E334" s="555"/>
    </row>
    <row r="335">
      <c r="B335" s="484"/>
      <c r="C335" s="554"/>
      <c r="E335" s="555"/>
    </row>
    <row r="336">
      <c r="B336" s="484"/>
      <c r="C336" s="554"/>
      <c r="E336" s="555"/>
    </row>
    <row r="337">
      <c r="B337" s="484"/>
      <c r="C337" s="554"/>
      <c r="E337" s="555"/>
    </row>
    <row r="338">
      <c r="B338" s="484"/>
      <c r="C338" s="554"/>
      <c r="E338" s="555"/>
    </row>
    <row r="339">
      <c r="B339" s="484"/>
      <c r="C339" s="554"/>
      <c r="E339" s="555"/>
    </row>
    <row r="340">
      <c r="B340" s="484"/>
      <c r="C340" s="554"/>
      <c r="E340" s="555"/>
    </row>
    <row r="341">
      <c r="B341" s="484"/>
      <c r="C341" s="554"/>
      <c r="E341" s="555"/>
    </row>
    <row r="342">
      <c r="B342" s="484"/>
      <c r="C342" s="554"/>
      <c r="E342" s="555"/>
    </row>
    <row r="343">
      <c r="B343" s="484"/>
      <c r="C343" s="554"/>
      <c r="E343" s="555"/>
    </row>
    <row r="344">
      <c r="B344" s="484"/>
      <c r="C344" s="554"/>
      <c r="E344" s="555"/>
    </row>
    <row r="345">
      <c r="B345" s="484"/>
      <c r="C345" s="554"/>
      <c r="E345" s="555"/>
    </row>
    <row r="346">
      <c r="B346" s="484"/>
      <c r="C346" s="554"/>
      <c r="E346" s="555"/>
    </row>
    <row r="347">
      <c r="B347" s="484"/>
      <c r="C347" s="554"/>
      <c r="E347" s="555"/>
    </row>
    <row r="348">
      <c r="B348" s="484"/>
      <c r="C348" s="554"/>
      <c r="E348" s="555"/>
    </row>
    <row r="349">
      <c r="B349" s="484"/>
      <c r="C349" s="554"/>
      <c r="E349" s="555"/>
    </row>
    <row r="350">
      <c r="B350" s="484"/>
      <c r="C350" s="554"/>
      <c r="E350" s="555"/>
    </row>
    <row r="351">
      <c r="B351" s="484"/>
      <c r="C351" s="554"/>
      <c r="E351" s="555"/>
    </row>
    <row r="352">
      <c r="B352" s="484"/>
      <c r="C352" s="554"/>
      <c r="E352" s="555"/>
    </row>
    <row r="353">
      <c r="B353" s="484"/>
      <c r="C353" s="554"/>
      <c r="E353" s="555"/>
    </row>
    <row r="354">
      <c r="B354" s="484"/>
      <c r="C354" s="554"/>
      <c r="E354" s="555"/>
    </row>
    <row r="355">
      <c r="B355" s="484"/>
      <c r="C355" s="554"/>
      <c r="E355" s="555"/>
    </row>
    <row r="356">
      <c r="B356" s="484"/>
      <c r="C356" s="554"/>
      <c r="E356" s="555"/>
    </row>
    <row r="357">
      <c r="B357" s="484"/>
      <c r="C357" s="554"/>
      <c r="E357" s="555"/>
    </row>
    <row r="358">
      <c r="B358" s="484"/>
      <c r="C358" s="554"/>
      <c r="E358" s="555"/>
    </row>
    <row r="359">
      <c r="B359" s="484"/>
      <c r="C359" s="554"/>
      <c r="E359" s="555"/>
    </row>
    <row r="360">
      <c r="B360" s="484"/>
      <c r="C360" s="554"/>
      <c r="E360" s="555"/>
    </row>
    <row r="361">
      <c r="B361" s="484"/>
      <c r="C361" s="554"/>
      <c r="E361" s="555"/>
    </row>
    <row r="362">
      <c r="B362" s="484"/>
      <c r="C362" s="554"/>
      <c r="E362" s="555"/>
    </row>
    <row r="363">
      <c r="B363" s="484"/>
      <c r="C363" s="554"/>
      <c r="E363" s="555"/>
    </row>
    <row r="364">
      <c r="B364" s="484"/>
      <c r="C364" s="554"/>
      <c r="E364" s="555"/>
    </row>
    <row r="365">
      <c r="B365" s="484"/>
      <c r="C365" s="554"/>
      <c r="E365" s="555"/>
    </row>
    <row r="366">
      <c r="B366" s="484"/>
      <c r="C366" s="554"/>
      <c r="E366" s="555"/>
    </row>
    <row r="367">
      <c r="B367" s="484"/>
      <c r="C367" s="554"/>
      <c r="E367" s="555"/>
    </row>
    <row r="368">
      <c r="B368" s="484"/>
      <c r="C368" s="554"/>
      <c r="E368" s="555"/>
    </row>
    <row r="369">
      <c r="B369" s="484"/>
      <c r="C369" s="554"/>
      <c r="E369" s="555"/>
    </row>
    <row r="370">
      <c r="B370" s="484"/>
      <c r="C370" s="554"/>
      <c r="E370" s="555"/>
    </row>
    <row r="371">
      <c r="B371" s="484"/>
      <c r="C371" s="554"/>
      <c r="E371" s="555"/>
    </row>
    <row r="372">
      <c r="B372" s="484"/>
      <c r="C372" s="554"/>
      <c r="E372" s="555"/>
    </row>
    <row r="373">
      <c r="B373" s="484"/>
      <c r="C373" s="554"/>
      <c r="E373" s="555"/>
    </row>
    <row r="374">
      <c r="B374" s="484"/>
      <c r="C374" s="554"/>
      <c r="E374" s="555"/>
    </row>
    <row r="375">
      <c r="B375" s="484"/>
      <c r="C375" s="554"/>
      <c r="E375" s="555"/>
    </row>
    <row r="376">
      <c r="B376" s="484"/>
      <c r="C376" s="554"/>
      <c r="E376" s="555"/>
    </row>
    <row r="377">
      <c r="B377" s="484"/>
      <c r="C377" s="554"/>
      <c r="E377" s="555"/>
    </row>
    <row r="378">
      <c r="B378" s="484"/>
      <c r="C378" s="554"/>
      <c r="E378" s="555"/>
    </row>
    <row r="379">
      <c r="B379" s="484"/>
      <c r="C379" s="554"/>
      <c r="E379" s="555"/>
    </row>
    <row r="380">
      <c r="B380" s="484"/>
      <c r="C380" s="554"/>
      <c r="E380" s="555"/>
    </row>
    <row r="381">
      <c r="B381" s="484"/>
      <c r="C381" s="554"/>
      <c r="E381" s="555"/>
    </row>
    <row r="382">
      <c r="B382" s="484"/>
      <c r="C382" s="554"/>
      <c r="E382" s="555"/>
    </row>
    <row r="383">
      <c r="B383" s="484"/>
      <c r="C383" s="554"/>
      <c r="E383" s="555"/>
    </row>
    <row r="384">
      <c r="B384" s="484"/>
      <c r="C384" s="554"/>
      <c r="E384" s="555"/>
    </row>
    <row r="385">
      <c r="B385" s="484"/>
      <c r="C385" s="554"/>
      <c r="E385" s="555"/>
    </row>
    <row r="386">
      <c r="B386" s="484"/>
      <c r="C386" s="554"/>
      <c r="E386" s="555"/>
    </row>
    <row r="387">
      <c r="B387" s="484"/>
      <c r="C387" s="554"/>
      <c r="E387" s="555"/>
    </row>
    <row r="388">
      <c r="B388" s="484"/>
      <c r="C388" s="554"/>
      <c r="E388" s="555"/>
    </row>
    <row r="389">
      <c r="B389" s="484"/>
      <c r="C389" s="554"/>
      <c r="E389" s="555"/>
    </row>
    <row r="390">
      <c r="B390" s="484"/>
      <c r="C390" s="554"/>
      <c r="E390" s="555"/>
    </row>
    <row r="391">
      <c r="B391" s="484"/>
      <c r="C391" s="554"/>
      <c r="E391" s="555"/>
    </row>
    <row r="392">
      <c r="B392" s="484"/>
      <c r="C392" s="554"/>
      <c r="E392" s="555"/>
    </row>
    <row r="393">
      <c r="B393" s="484"/>
      <c r="C393" s="554"/>
      <c r="E393" s="555"/>
    </row>
    <row r="394">
      <c r="B394" s="484"/>
      <c r="C394" s="554"/>
      <c r="E394" s="555"/>
    </row>
    <row r="395">
      <c r="B395" s="484"/>
      <c r="C395" s="554"/>
      <c r="E395" s="555"/>
    </row>
    <row r="396">
      <c r="B396" s="484"/>
      <c r="C396" s="554"/>
      <c r="E396" s="555"/>
    </row>
    <row r="397">
      <c r="B397" s="484"/>
      <c r="C397" s="554"/>
      <c r="E397" s="555"/>
    </row>
    <row r="398">
      <c r="B398" s="484"/>
      <c r="C398" s="554"/>
      <c r="E398" s="555"/>
    </row>
    <row r="399">
      <c r="B399" s="484"/>
      <c r="C399" s="554"/>
      <c r="E399" s="555"/>
    </row>
    <row r="400">
      <c r="B400" s="484"/>
      <c r="C400" s="554"/>
      <c r="E400" s="555"/>
    </row>
    <row r="401">
      <c r="B401" s="484"/>
      <c r="C401" s="554"/>
      <c r="E401" s="555"/>
    </row>
    <row r="402">
      <c r="B402" s="484"/>
      <c r="C402" s="554"/>
      <c r="E402" s="555"/>
    </row>
    <row r="403">
      <c r="B403" s="484"/>
      <c r="C403" s="554"/>
      <c r="E403" s="555"/>
    </row>
    <row r="404">
      <c r="B404" s="484"/>
      <c r="C404" s="554"/>
      <c r="E404" s="555"/>
    </row>
    <row r="405">
      <c r="B405" s="484"/>
      <c r="C405" s="554"/>
      <c r="E405" s="555"/>
    </row>
    <row r="406">
      <c r="B406" s="484"/>
      <c r="C406" s="554"/>
      <c r="E406" s="555"/>
    </row>
    <row r="407">
      <c r="B407" s="484"/>
      <c r="C407" s="554"/>
      <c r="E407" s="555"/>
    </row>
    <row r="408">
      <c r="B408" s="484"/>
      <c r="C408" s="554"/>
      <c r="E408" s="555"/>
    </row>
    <row r="409">
      <c r="B409" s="484"/>
      <c r="C409" s="554"/>
      <c r="E409" s="555"/>
    </row>
    <row r="410">
      <c r="B410" s="484"/>
      <c r="C410" s="554"/>
      <c r="E410" s="555"/>
    </row>
    <row r="411">
      <c r="B411" s="484"/>
      <c r="C411" s="554"/>
      <c r="E411" s="555"/>
    </row>
    <row r="412">
      <c r="B412" s="484"/>
      <c r="C412" s="554"/>
      <c r="E412" s="555"/>
    </row>
    <row r="413">
      <c r="B413" s="484"/>
      <c r="C413" s="554"/>
      <c r="E413" s="555"/>
    </row>
    <row r="414">
      <c r="B414" s="484"/>
      <c r="C414" s="554"/>
      <c r="E414" s="555"/>
    </row>
    <row r="415">
      <c r="B415" s="484"/>
      <c r="C415" s="554"/>
      <c r="E415" s="555"/>
    </row>
    <row r="416">
      <c r="B416" s="484"/>
      <c r="C416" s="554"/>
      <c r="E416" s="555"/>
    </row>
    <row r="417">
      <c r="B417" s="484"/>
      <c r="C417" s="554"/>
      <c r="E417" s="555"/>
    </row>
    <row r="418">
      <c r="B418" s="484"/>
      <c r="C418" s="554"/>
      <c r="E418" s="555"/>
    </row>
    <row r="419">
      <c r="B419" s="484"/>
      <c r="C419" s="554"/>
      <c r="E419" s="555"/>
    </row>
    <row r="420">
      <c r="B420" s="484"/>
      <c r="C420" s="554"/>
      <c r="E420" s="555"/>
    </row>
    <row r="421">
      <c r="B421" s="484"/>
      <c r="C421" s="554"/>
      <c r="E421" s="555"/>
    </row>
    <row r="422">
      <c r="B422" s="484"/>
      <c r="C422" s="554"/>
      <c r="E422" s="555"/>
    </row>
    <row r="423">
      <c r="B423" s="484"/>
      <c r="C423" s="554"/>
      <c r="E423" s="555"/>
    </row>
    <row r="424">
      <c r="B424" s="484"/>
      <c r="C424" s="554"/>
      <c r="E424" s="555"/>
    </row>
    <row r="425">
      <c r="B425" s="484"/>
      <c r="C425" s="554"/>
      <c r="E425" s="555"/>
    </row>
    <row r="426">
      <c r="B426" s="484"/>
      <c r="C426" s="554"/>
      <c r="E426" s="555"/>
    </row>
    <row r="427">
      <c r="B427" s="484"/>
      <c r="C427" s="554"/>
      <c r="E427" s="555"/>
    </row>
    <row r="428">
      <c r="B428" s="484"/>
      <c r="C428" s="554"/>
      <c r="E428" s="555"/>
    </row>
    <row r="429">
      <c r="B429" s="484"/>
      <c r="C429" s="554"/>
      <c r="E429" s="555"/>
    </row>
    <row r="430">
      <c r="B430" s="484"/>
      <c r="C430" s="554"/>
      <c r="E430" s="555"/>
    </row>
    <row r="431">
      <c r="B431" s="484"/>
      <c r="C431" s="554"/>
      <c r="E431" s="555"/>
    </row>
    <row r="432">
      <c r="B432" s="484"/>
      <c r="C432" s="554"/>
      <c r="E432" s="555"/>
    </row>
    <row r="433">
      <c r="B433" s="484"/>
      <c r="C433" s="554"/>
      <c r="E433" s="555"/>
    </row>
    <row r="434">
      <c r="B434" s="484"/>
      <c r="C434" s="554"/>
      <c r="E434" s="555"/>
    </row>
    <row r="435">
      <c r="B435" s="484"/>
      <c r="C435" s="554"/>
      <c r="E435" s="555"/>
    </row>
    <row r="436">
      <c r="B436" s="484"/>
      <c r="C436" s="554"/>
      <c r="E436" s="555"/>
    </row>
    <row r="437">
      <c r="B437" s="484"/>
      <c r="C437" s="554"/>
      <c r="E437" s="555"/>
    </row>
    <row r="438">
      <c r="B438" s="484"/>
      <c r="C438" s="554"/>
      <c r="E438" s="555"/>
    </row>
    <row r="439">
      <c r="B439" s="484"/>
      <c r="C439" s="554"/>
      <c r="E439" s="555"/>
    </row>
    <row r="440">
      <c r="B440" s="484"/>
      <c r="C440" s="554"/>
      <c r="E440" s="555"/>
    </row>
    <row r="441">
      <c r="B441" s="484"/>
      <c r="C441" s="554"/>
      <c r="E441" s="555"/>
    </row>
    <row r="442">
      <c r="B442" s="484"/>
      <c r="C442" s="554"/>
      <c r="E442" s="555"/>
    </row>
    <row r="443">
      <c r="B443" s="484"/>
      <c r="C443" s="554"/>
      <c r="E443" s="555"/>
    </row>
    <row r="444">
      <c r="B444" s="484"/>
      <c r="C444" s="554"/>
      <c r="E444" s="555"/>
    </row>
    <row r="445">
      <c r="B445" s="484"/>
      <c r="C445" s="554"/>
      <c r="E445" s="555"/>
    </row>
    <row r="446">
      <c r="B446" s="484"/>
      <c r="C446" s="554"/>
      <c r="E446" s="555"/>
    </row>
    <row r="447">
      <c r="B447" s="484"/>
      <c r="C447" s="554"/>
      <c r="E447" s="555"/>
    </row>
    <row r="448">
      <c r="B448" s="484"/>
      <c r="C448" s="554"/>
      <c r="E448" s="555"/>
    </row>
    <row r="449">
      <c r="B449" s="484"/>
      <c r="C449" s="554"/>
      <c r="E449" s="555"/>
    </row>
    <row r="450">
      <c r="B450" s="484"/>
      <c r="C450" s="554"/>
      <c r="E450" s="555"/>
    </row>
    <row r="451">
      <c r="B451" s="484"/>
      <c r="C451" s="554"/>
      <c r="E451" s="555"/>
    </row>
    <row r="452">
      <c r="B452" s="484"/>
      <c r="C452" s="554"/>
      <c r="E452" s="555"/>
    </row>
    <row r="453">
      <c r="B453" s="484"/>
      <c r="C453" s="554"/>
      <c r="E453" s="555"/>
    </row>
    <row r="454">
      <c r="B454" s="484"/>
      <c r="C454" s="554"/>
      <c r="E454" s="555"/>
    </row>
    <row r="455">
      <c r="B455" s="484"/>
      <c r="C455" s="554"/>
      <c r="E455" s="555"/>
    </row>
    <row r="456">
      <c r="B456" s="484"/>
      <c r="C456" s="554"/>
      <c r="E456" s="555"/>
    </row>
    <row r="457">
      <c r="B457" s="484"/>
      <c r="C457" s="554"/>
      <c r="E457" s="555"/>
    </row>
    <row r="458">
      <c r="B458" s="484"/>
      <c r="C458" s="554"/>
      <c r="E458" s="555"/>
    </row>
    <row r="459">
      <c r="B459" s="484"/>
      <c r="C459" s="554"/>
      <c r="E459" s="555"/>
    </row>
    <row r="460">
      <c r="B460" s="484"/>
      <c r="C460" s="554"/>
      <c r="E460" s="555"/>
    </row>
    <row r="461">
      <c r="B461" s="484"/>
      <c r="C461" s="554"/>
      <c r="E461" s="555"/>
    </row>
    <row r="462">
      <c r="B462" s="484"/>
      <c r="C462" s="554"/>
      <c r="E462" s="555"/>
    </row>
    <row r="463">
      <c r="B463" s="484"/>
      <c r="C463" s="554"/>
      <c r="E463" s="555"/>
    </row>
    <row r="464">
      <c r="B464" s="484"/>
      <c r="C464" s="554"/>
      <c r="E464" s="555"/>
    </row>
    <row r="465">
      <c r="B465" s="484"/>
      <c r="C465" s="554"/>
      <c r="E465" s="555"/>
    </row>
    <row r="466">
      <c r="B466" s="484"/>
      <c r="C466" s="554"/>
      <c r="E466" s="555"/>
    </row>
    <row r="467">
      <c r="B467" s="484"/>
      <c r="C467" s="554"/>
      <c r="E467" s="555"/>
    </row>
    <row r="468">
      <c r="B468" s="484"/>
      <c r="C468" s="554"/>
      <c r="E468" s="555"/>
    </row>
    <row r="469">
      <c r="B469" s="484"/>
      <c r="C469" s="554"/>
      <c r="E469" s="555"/>
    </row>
    <row r="470">
      <c r="B470" s="484"/>
      <c r="C470" s="554"/>
      <c r="E470" s="555"/>
    </row>
    <row r="471">
      <c r="B471" s="484"/>
      <c r="C471" s="554"/>
      <c r="E471" s="555"/>
    </row>
    <row r="472">
      <c r="B472" s="484"/>
      <c r="C472" s="554"/>
      <c r="E472" s="555"/>
    </row>
    <row r="473">
      <c r="B473" s="484"/>
      <c r="C473" s="554"/>
      <c r="E473" s="555"/>
    </row>
    <row r="474">
      <c r="B474" s="484"/>
      <c r="C474" s="554"/>
      <c r="E474" s="555"/>
    </row>
    <row r="475">
      <c r="B475" s="484"/>
      <c r="C475" s="554"/>
      <c r="E475" s="555"/>
    </row>
    <row r="476">
      <c r="B476" s="484"/>
      <c r="C476" s="554"/>
      <c r="E476" s="555"/>
    </row>
    <row r="477">
      <c r="B477" s="484"/>
      <c r="C477" s="554"/>
      <c r="E477" s="555"/>
    </row>
    <row r="478">
      <c r="B478" s="484"/>
      <c r="C478" s="554"/>
      <c r="E478" s="555"/>
    </row>
    <row r="479">
      <c r="B479" s="484"/>
      <c r="C479" s="554"/>
      <c r="E479" s="555"/>
    </row>
    <row r="480">
      <c r="B480" s="484"/>
      <c r="C480" s="554"/>
      <c r="E480" s="555"/>
    </row>
    <row r="481">
      <c r="B481" s="484"/>
      <c r="C481" s="554"/>
      <c r="E481" s="555"/>
    </row>
    <row r="482">
      <c r="B482" s="484"/>
      <c r="C482" s="554"/>
      <c r="E482" s="555"/>
    </row>
    <row r="483">
      <c r="B483" s="484"/>
      <c r="C483" s="554"/>
      <c r="E483" s="555"/>
    </row>
    <row r="484">
      <c r="B484" s="484"/>
      <c r="C484" s="554"/>
      <c r="E484" s="555"/>
    </row>
    <row r="485">
      <c r="B485" s="484"/>
      <c r="C485" s="554"/>
      <c r="E485" s="555"/>
    </row>
    <row r="486">
      <c r="B486" s="484"/>
      <c r="C486" s="554"/>
      <c r="E486" s="555"/>
    </row>
    <row r="487">
      <c r="B487" s="484"/>
      <c r="C487" s="554"/>
      <c r="E487" s="555"/>
    </row>
    <row r="488">
      <c r="B488" s="484"/>
      <c r="C488" s="554"/>
      <c r="E488" s="555"/>
    </row>
    <row r="489">
      <c r="B489" s="484"/>
      <c r="C489" s="554"/>
      <c r="E489" s="555"/>
    </row>
    <row r="490">
      <c r="B490" s="484"/>
      <c r="C490" s="554"/>
      <c r="E490" s="555"/>
    </row>
    <row r="491">
      <c r="B491" s="484"/>
      <c r="C491" s="554"/>
      <c r="E491" s="555"/>
    </row>
    <row r="492">
      <c r="B492" s="484"/>
      <c r="C492" s="554"/>
      <c r="E492" s="555"/>
    </row>
    <row r="493">
      <c r="B493" s="484"/>
      <c r="C493" s="554"/>
      <c r="E493" s="555"/>
    </row>
    <row r="494">
      <c r="B494" s="484"/>
      <c r="C494" s="554"/>
      <c r="E494" s="555"/>
    </row>
    <row r="495">
      <c r="B495" s="484"/>
      <c r="C495" s="554"/>
      <c r="E495" s="555"/>
    </row>
    <row r="496">
      <c r="B496" s="484"/>
      <c r="C496" s="554"/>
      <c r="E496" s="555"/>
    </row>
    <row r="497">
      <c r="B497" s="484"/>
      <c r="C497" s="554"/>
      <c r="E497" s="555"/>
    </row>
    <row r="498">
      <c r="B498" s="484"/>
      <c r="C498" s="554"/>
      <c r="E498" s="555"/>
    </row>
    <row r="499">
      <c r="B499" s="484"/>
      <c r="C499" s="554"/>
      <c r="E499" s="555"/>
    </row>
    <row r="500">
      <c r="B500" s="484"/>
      <c r="C500" s="554"/>
      <c r="E500" s="555"/>
    </row>
    <row r="501">
      <c r="B501" s="484"/>
      <c r="C501" s="554"/>
      <c r="E501" s="555"/>
    </row>
    <row r="502">
      <c r="B502" s="484"/>
      <c r="C502" s="554"/>
      <c r="E502" s="555"/>
    </row>
    <row r="503">
      <c r="B503" s="484"/>
      <c r="C503" s="554"/>
      <c r="E503" s="555"/>
    </row>
    <row r="504">
      <c r="B504" s="484"/>
      <c r="C504" s="554"/>
      <c r="E504" s="555"/>
    </row>
    <row r="505">
      <c r="B505" s="484"/>
      <c r="C505" s="554"/>
      <c r="E505" s="555"/>
    </row>
    <row r="506">
      <c r="B506" s="484"/>
      <c r="C506" s="554"/>
      <c r="E506" s="555"/>
    </row>
    <row r="507">
      <c r="B507" s="484"/>
      <c r="C507" s="554"/>
      <c r="E507" s="555"/>
    </row>
    <row r="508">
      <c r="B508" s="484"/>
      <c r="C508" s="554"/>
      <c r="E508" s="555"/>
    </row>
    <row r="509">
      <c r="B509" s="484"/>
      <c r="C509" s="554"/>
      <c r="E509" s="555"/>
    </row>
    <row r="510">
      <c r="B510" s="484"/>
      <c r="C510" s="554"/>
      <c r="E510" s="555"/>
    </row>
    <row r="511">
      <c r="B511" s="484"/>
      <c r="C511" s="554"/>
      <c r="E511" s="555"/>
    </row>
    <row r="512">
      <c r="B512" s="484"/>
      <c r="C512" s="554"/>
      <c r="E512" s="555"/>
    </row>
    <row r="513">
      <c r="B513" s="484"/>
      <c r="C513" s="554"/>
      <c r="E513" s="555"/>
    </row>
    <row r="514">
      <c r="B514" s="484"/>
      <c r="C514" s="554"/>
      <c r="E514" s="555"/>
    </row>
    <row r="515">
      <c r="B515" s="484"/>
      <c r="C515" s="554"/>
      <c r="E515" s="555"/>
    </row>
    <row r="516">
      <c r="B516" s="484"/>
      <c r="C516" s="554"/>
      <c r="E516" s="555"/>
    </row>
    <row r="517">
      <c r="B517" s="484"/>
      <c r="C517" s="554"/>
      <c r="E517" s="555"/>
    </row>
    <row r="518">
      <c r="B518" s="484"/>
      <c r="C518" s="554"/>
      <c r="E518" s="555"/>
    </row>
    <row r="519">
      <c r="B519" s="484"/>
      <c r="C519" s="554"/>
      <c r="E519" s="555"/>
    </row>
    <row r="520">
      <c r="B520" s="484"/>
      <c r="C520" s="554"/>
      <c r="E520" s="555"/>
    </row>
    <row r="521">
      <c r="B521" s="484"/>
      <c r="C521" s="554"/>
      <c r="E521" s="555"/>
    </row>
    <row r="522">
      <c r="B522" s="484"/>
      <c r="C522" s="554"/>
      <c r="E522" s="555"/>
    </row>
    <row r="523">
      <c r="B523" s="484"/>
      <c r="C523" s="554"/>
      <c r="E523" s="555"/>
    </row>
    <row r="524">
      <c r="B524" s="484"/>
      <c r="C524" s="554"/>
      <c r="E524" s="555"/>
    </row>
    <row r="525">
      <c r="B525" s="484"/>
      <c r="C525" s="554"/>
      <c r="E525" s="555"/>
    </row>
    <row r="526">
      <c r="B526" s="484"/>
      <c r="C526" s="554"/>
      <c r="E526" s="555"/>
    </row>
    <row r="527">
      <c r="B527" s="484"/>
      <c r="C527" s="554"/>
      <c r="E527" s="555"/>
    </row>
    <row r="528">
      <c r="B528" s="484"/>
      <c r="C528" s="554"/>
      <c r="E528" s="555"/>
    </row>
    <row r="529">
      <c r="B529" s="484"/>
      <c r="C529" s="554"/>
      <c r="E529" s="555"/>
    </row>
    <row r="530">
      <c r="B530" s="484"/>
      <c r="C530" s="554"/>
      <c r="E530" s="555"/>
    </row>
    <row r="531">
      <c r="B531" s="484"/>
      <c r="C531" s="554"/>
      <c r="E531" s="555"/>
    </row>
    <row r="532">
      <c r="B532" s="484"/>
      <c r="C532" s="554"/>
      <c r="E532" s="555"/>
    </row>
    <row r="533">
      <c r="B533" s="484"/>
      <c r="C533" s="554"/>
      <c r="E533" s="555"/>
    </row>
    <row r="534">
      <c r="B534" s="484"/>
      <c r="C534" s="554"/>
      <c r="E534" s="555"/>
    </row>
    <row r="535">
      <c r="B535" s="484"/>
      <c r="C535" s="554"/>
      <c r="E535" s="555"/>
    </row>
    <row r="536">
      <c r="B536" s="484"/>
      <c r="C536" s="554"/>
      <c r="E536" s="555"/>
    </row>
    <row r="537">
      <c r="B537" s="484"/>
      <c r="C537" s="554"/>
      <c r="E537" s="555"/>
    </row>
    <row r="538">
      <c r="B538" s="484"/>
      <c r="C538" s="554"/>
      <c r="E538" s="555"/>
    </row>
    <row r="539">
      <c r="B539" s="484"/>
      <c r="C539" s="554"/>
      <c r="E539" s="555"/>
    </row>
    <row r="540">
      <c r="B540" s="484"/>
      <c r="C540" s="554"/>
      <c r="E540" s="555"/>
    </row>
    <row r="541">
      <c r="B541" s="484"/>
      <c r="C541" s="554"/>
      <c r="E541" s="555"/>
    </row>
    <row r="542">
      <c r="B542" s="484"/>
      <c r="C542" s="554"/>
      <c r="E542" s="555"/>
    </row>
    <row r="543">
      <c r="B543" s="484"/>
      <c r="C543" s="554"/>
      <c r="E543" s="555"/>
    </row>
    <row r="544">
      <c r="B544" s="484"/>
      <c r="C544" s="554"/>
      <c r="E544" s="555"/>
    </row>
    <row r="545">
      <c r="B545" s="484"/>
      <c r="C545" s="554"/>
      <c r="E545" s="555"/>
    </row>
    <row r="546">
      <c r="B546" s="484"/>
      <c r="C546" s="554"/>
      <c r="E546" s="555"/>
    </row>
    <row r="547">
      <c r="B547" s="484"/>
      <c r="C547" s="554"/>
      <c r="E547" s="555"/>
    </row>
    <row r="548">
      <c r="B548" s="484"/>
      <c r="C548" s="554"/>
      <c r="E548" s="555"/>
    </row>
    <row r="549">
      <c r="B549" s="484"/>
      <c r="C549" s="554"/>
      <c r="E549" s="555"/>
    </row>
    <row r="550">
      <c r="B550" s="484"/>
      <c r="C550" s="554"/>
      <c r="E550" s="555"/>
    </row>
    <row r="551">
      <c r="B551" s="484"/>
      <c r="C551" s="554"/>
      <c r="E551" s="555"/>
    </row>
    <row r="552">
      <c r="B552" s="484"/>
      <c r="C552" s="554"/>
      <c r="E552" s="555"/>
    </row>
    <row r="553">
      <c r="B553" s="484"/>
      <c r="C553" s="554"/>
      <c r="E553" s="555"/>
    </row>
    <row r="554">
      <c r="B554" s="484"/>
      <c r="C554" s="554"/>
      <c r="E554" s="555"/>
    </row>
    <row r="555">
      <c r="B555" s="484"/>
      <c r="C555" s="554"/>
      <c r="E555" s="555"/>
    </row>
    <row r="556">
      <c r="B556" s="484"/>
      <c r="C556" s="554"/>
      <c r="E556" s="555"/>
    </row>
    <row r="557">
      <c r="B557" s="484"/>
      <c r="C557" s="554"/>
      <c r="E557" s="555"/>
    </row>
    <row r="558">
      <c r="B558" s="484"/>
      <c r="C558" s="554"/>
      <c r="E558" s="555"/>
    </row>
    <row r="559">
      <c r="B559" s="484"/>
      <c r="C559" s="554"/>
      <c r="E559" s="555"/>
    </row>
    <row r="560">
      <c r="B560" s="484"/>
      <c r="C560" s="554"/>
      <c r="E560" s="555"/>
    </row>
    <row r="561">
      <c r="B561" s="484"/>
      <c r="C561" s="554"/>
      <c r="E561" s="555"/>
    </row>
    <row r="562">
      <c r="B562" s="484"/>
      <c r="C562" s="554"/>
      <c r="E562" s="555"/>
    </row>
    <row r="563">
      <c r="B563" s="484"/>
      <c r="C563" s="554"/>
      <c r="E563" s="555"/>
    </row>
    <row r="564">
      <c r="B564" s="484"/>
      <c r="C564" s="554"/>
      <c r="E564" s="555"/>
    </row>
    <row r="565">
      <c r="B565" s="484"/>
      <c r="C565" s="554"/>
      <c r="E565" s="555"/>
    </row>
    <row r="566">
      <c r="B566" s="484"/>
      <c r="C566" s="554"/>
      <c r="E566" s="555"/>
    </row>
    <row r="567">
      <c r="B567" s="484"/>
      <c r="C567" s="554"/>
      <c r="E567" s="555"/>
    </row>
    <row r="568">
      <c r="B568" s="484"/>
      <c r="C568" s="554"/>
      <c r="E568" s="555"/>
    </row>
    <row r="569">
      <c r="B569" s="484"/>
      <c r="C569" s="554"/>
      <c r="E569" s="555"/>
    </row>
    <row r="570">
      <c r="B570" s="484"/>
      <c r="C570" s="554"/>
      <c r="E570" s="555"/>
    </row>
    <row r="571">
      <c r="B571" s="484"/>
      <c r="C571" s="554"/>
      <c r="E571" s="555"/>
    </row>
    <row r="572">
      <c r="B572" s="484"/>
      <c r="C572" s="554"/>
      <c r="E572" s="555"/>
    </row>
    <row r="573">
      <c r="B573" s="484"/>
      <c r="C573" s="554"/>
      <c r="E573" s="555"/>
    </row>
    <row r="574">
      <c r="B574" s="484"/>
      <c r="C574" s="554"/>
      <c r="E574" s="555"/>
    </row>
    <row r="575">
      <c r="B575" s="484"/>
      <c r="C575" s="554"/>
      <c r="E575" s="555"/>
    </row>
    <row r="576">
      <c r="B576" s="484"/>
      <c r="C576" s="554"/>
      <c r="E576" s="555"/>
    </row>
    <row r="577">
      <c r="B577" s="484"/>
      <c r="C577" s="554"/>
      <c r="E577" s="555"/>
    </row>
    <row r="578">
      <c r="B578" s="484"/>
      <c r="C578" s="554"/>
      <c r="E578" s="555"/>
    </row>
    <row r="579">
      <c r="B579" s="484"/>
      <c r="C579" s="554"/>
      <c r="E579" s="555"/>
    </row>
    <row r="580">
      <c r="B580" s="484"/>
      <c r="C580" s="554"/>
      <c r="E580" s="555"/>
    </row>
    <row r="581">
      <c r="B581" s="484"/>
      <c r="C581" s="554"/>
      <c r="E581" s="555"/>
    </row>
    <row r="582">
      <c r="B582" s="484"/>
      <c r="C582" s="554"/>
      <c r="E582" s="555"/>
    </row>
    <row r="583">
      <c r="B583" s="484"/>
      <c r="C583" s="554"/>
      <c r="E583" s="555"/>
    </row>
    <row r="584">
      <c r="B584" s="484"/>
      <c r="C584" s="554"/>
      <c r="E584" s="555"/>
    </row>
    <row r="585">
      <c r="B585" s="484"/>
      <c r="C585" s="554"/>
      <c r="E585" s="555"/>
    </row>
    <row r="586">
      <c r="B586" s="484"/>
      <c r="C586" s="554"/>
      <c r="E586" s="555"/>
    </row>
    <row r="587">
      <c r="B587" s="484"/>
      <c r="C587" s="554"/>
      <c r="E587" s="555"/>
    </row>
    <row r="588">
      <c r="B588" s="484"/>
      <c r="C588" s="554"/>
      <c r="E588" s="555"/>
    </row>
    <row r="589">
      <c r="B589" s="484"/>
      <c r="C589" s="554"/>
      <c r="E589" s="555"/>
    </row>
    <row r="590">
      <c r="B590" s="484"/>
      <c r="C590" s="554"/>
      <c r="E590" s="555"/>
    </row>
    <row r="591">
      <c r="B591" s="484"/>
      <c r="C591" s="554"/>
      <c r="E591" s="555"/>
    </row>
    <row r="592">
      <c r="B592" s="484"/>
      <c r="C592" s="554"/>
      <c r="E592" s="555"/>
    </row>
    <row r="593">
      <c r="B593" s="484"/>
      <c r="C593" s="554"/>
      <c r="E593" s="555"/>
    </row>
    <row r="594">
      <c r="B594" s="484"/>
      <c r="C594" s="554"/>
      <c r="E594" s="555"/>
    </row>
    <row r="595">
      <c r="B595" s="484"/>
      <c r="C595" s="554"/>
      <c r="E595" s="555"/>
    </row>
    <row r="596">
      <c r="B596" s="484"/>
      <c r="C596" s="554"/>
      <c r="E596" s="555"/>
    </row>
    <row r="597">
      <c r="B597" s="484"/>
      <c r="C597" s="554"/>
      <c r="E597" s="555"/>
    </row>
    <row r="598">
      <c r="B598" s="484"/>
      <c r="C598" s="554"/>
      <c r="E598" s="555"/>
    </row>
    <row r="599">
      <c r="B599" s="484"/>
      <c r="C599" s="554"/>
      <c r="E599" s="555"/>
    </row>
    <row r="600">
      <c r="B600" s="484"/>
      <c r="C600" s="554"/>
      <c r="E600" s="555"/>
    </row>
    <row r="601">
      <c r="B601" s="484"/>
      <c r="C601" s="554"/>
      <c r="E601" s="555"/>
    </row>
    <row r="602">
      <c r="B602" s="484"/>
      <c r="C602" s="554"/>
      <c r="E602" s="555"/>
    </row>
    <row r="603">
      <c r="B603" s="484"/>
      <c r="C603" s="554"/>
      <c r="E603" s="555"/>
    </row>
    <row r="604">
      <c r="B604" s="484"/>
      <c r="C604" s="554"/>
      <c r="E604" s="555"/>
    </row>
    <row r="605">
      <c r="B605" s="484"/>
      <c r="C605" s="554"/>
      <c r="E605" s="555"/>
    </row>
    <row r="606">
      <c r="B606" s="484"/>
      <c r="C606" s="554"/>
      <c r="E606" s="555"/>
    </row>
    <row r="607">
      <c r="B607" s="484"/>
      <c r="C607" s="554"/>
      <c r="E607" s="555"/>
    </row>
    <row r="608">
      <c r="B608" s="484"/>
      <c r="C608" s="554"/>
      <c r="E608" s="555"/>
    </row>
    <row r="609">
      <c r="B609" s="484"/>
      <c r="C609" s="554"/>
      <c r="E609" s="555"/>
    </row>
    <row r="610">
      <c r="B610" s="484"/>
      <c r="C610" s="554"/>
      <c r="E610" s="555"/>
    </row>
    <row r="611">
      <c r="B611" s="484"/>
      <c r="C611" s="554"/>
      <c r="E611" s="555"/>
    </row>
    <row r="612">
      <c r="B612" s="484"/>
      <c r="C612" s="554"/>
      <c r="E612" s="555"/>
    </row>
    <row r="613">
      <c r="B613" s="484"/>
      <c r="C613" s="554"/>
      <c r="E613" s="555"/>
    </row>
    <row r="614">
      <c r="B614" s="484"/>
      <c r="C614" s="554"/>
      <c r="E614" s="555"/>
    </row>
    <row r="615">
      <c r="B615" s="484"/>
      <c r="C615" s="554"/>
      <c r="E615" s="555"/>
    </row>
    <row r="616">
      <c r="B616" s="484"/>
      <c r="C616" s="554"/>
      <c r="E616" s="555"/>
    </row>
    <row r="617">
      <c r="B617" s="484"/>
      <c r="C617" s="554"/>
      <c r="E617" s="555"/>
    </row>
    <row r="618">
      <c r="B618" s="484"/>
      <c r="C618" s="554"/>
      <c r="E618" s="555"/>
    </row>
    <row r="619">
      <c r="B619" s="484"/>
      <c r="C619" s="554"/>
      <c r="E619" s="555"/>
    </row>
    <row r="620">
      <c r="B620" s="484"/>
      <c r="C620" s="554"/>
      <c r="E620" s="555"/>
    </row>
    <row r="621">
      <c r="B621" s="484"/>
      <c r="C621" s="554"/>
      <c r="E621" s="555"/>
    </row>
    <row r="622">
      <c r="B622" s="484"/>
      <c r="C622" s="554"/>
      <c r="E622" s="555"/>
    </row>
    <row r="623">
      <c r="B623" s="484"/>
      <c r="C623" s="554"/>
      <c r="E623" s="555"/>
    </row>
    <row r="624">
      <c r="B624" s="484"/>
      <c r="C624" s="554"/>
      <c r="E624" s="555"/>
    </row>
    <row r="625">
      <c r="B625" s="484"/>
      <c r="C625" s="554"/>
      <c r="E625" s="555"/>
    </row>
    <row r="626">
      <c r="B626" s="484"/>
      <c r="C626" s="554"/>
      <c r="E626" s="555"/>
    </row>
    <row r="627">
      <c r="B627" s="484"/>
      <c r="C627" s="554"/>
      <c r="E627" s="555"/>
    </row>
    <row r="628">
      <c r="B628" s="484"/>
      <c r="C628" s="554"/>
      <c r="E628" s="555"/>
    </row>
    <row r="629">
      <c r="B629" s="484"/>
      <c r="C629" s="554"/>
      <c r="E629" s="555"/>
    </row>
    <row r="630">
      <c r="B630" s="484"/>
      <c r="C630" s="554"/>
      <c r="E630" s="555"/>
    </row>
    <row r="631">
      <c r="B631" s="484"/>
      <c r="C631" s="554"/>
      <c r="E631" s="555"/>
    </row>
    <row r="632">
      <c r="B632" s="484"/>
      <c r="C632" s="554"/>
      <c r="E632" s="555"/>
    </row>
    <row r="633">
      <c r="B633" s="484"/>
      <c r="C633" s="554"/>
      <c r="E633" s="555"/>
    </row>
    <row r="634">
      <c r="B634" s="484"/>
      <c r="C634" s="554"/>
      <c r="E634" s="555"/>
    </row>
    <row r="635">
      <c r="B635" s="484"/>
      <c r="C635" s="554"/>
      <c r="E635" s="555"/>
    </row>
    <row r="636">
      <c r="B636" s="484"/>
      <c r="C636" s="554"/>
      <c r="E636" s="555"/>
    </row>
    <row r="637">
      <c r="B637" s="484"/>
      <c r="C637" s="554"/>
      <c r="E637" s="555"/>
    </row>
    <row r="638">
      <c r="B638" s="484"/>
      <c r="C638" s="554"/>
      <c r="E638" s="555"/>
    </row>
    <row r="639">
      <c r="B639" s="484"/>
      <c r="C639" s="554"/>
      <c r="E639" s="555"/>
    </row>
    <row r="640">
      <c r="B640" s="484"/>
      <c r="C640" s="554"/>
      <c r="E640" s="555"/>
    </row>
    <row r="641">
      <c r="B641" s="484"/>
      <c r="C641" s="554"/>
      <c r="E641" s="555"/>
    </row>
    <row r="642">
      <c r="B642" s="484"/>
      <c r="C642" s="554"/>
      <c r="E642" s="555"/>
    </row>
    <row r="643">
      <c r="B643" s="484"/>
      <c r="C643" s="554"/>
      <c r="E643" s="555"/>
    </row>
    <row r="644">
      <c r="B644" s="484"/>
      <c r="C644" s="554"/>
      <c r="E644" s="555"/>
    </row>
    <row r="645">
      <c r="B645" s="484"/>
      <c r="C645" s="554"/>
      <c r="E645" s="555"/>
    </row>
    <row r="646">
      <c r="B646" s="484"/>
      <c r="C646" s="554"/>
      <c r="E646" s="555"/>
    </row>
    <row r="647">
      <c r="B647" s="484"/>
      <c r="C647" s="554"/>
      <c r="E647" s="555"/>
    </row>
    <row r="648">
      <c r="B648" s="484"/>
      <c r="C648" s="554"/>
      <c r="E648" s="555"/>
    </row>
    <row r="649">
      <c r="B649" s="484"/>
      <c r="C649" s="554"/>
      <c r="E649" s="555"/>
    </row>
    <row r="650">
      <c r="B650" s="484"/>
      <c r="C650" s="554"/>
      <c r="E650" s="555"/>
    </row>
    <row r="651">
      <c r="B651" s="484"/>
      <c r="C651" s="554"/>
      <c r="E651" s="555"/>
    </row>
    <row r="652">
      <c r="B652" s="484"/>
      <c r="C652" s="554"/>
      <c r="E652" s="555"/>
    </row>
    <row r="653">
      <c r="B653" s="484"/>
      <c r="C653" s="554"/>
      <c r="E653" s="555"/>
    </row>
    <row r="654">
      <c r="B654" s="484"/>
      <c r="C654" s="554"/>
      <c r="E654" s="555"/>
    </row>
    <row r="655">
      <c r="B655" s="484"/>
      <c r="C655" s="554"/>
      <c r="E655" s="555"/>
    </row>
    <row r="656">
      <c r="B656" s="484"/>
      <c r="C656" s="554"/>
      <c r="E656" s="555"/>
    </row>
    <row r="657">
      <c r="B657" s="484"/>
      <c r="C657" s="554"/>
      <c r="E657" s="555"/>
    </row>
    <row r="658">
      <c r="B658" s="484"/>
      <c r="C658" s="554"/>
      <c r="E658" s="555"/>
    </row>
    <row r="659">
      <c r="B659" s="484"/>
      <c r="C659" s="554"/>
      <c r="E659" s="555"/>
    </row>
    <row r="660">
      <c r="B660" s="484"/>
      <c r="C660" s="554"/>
      <c r="E660" s="555"/>
    </row>
    <row r="661">
      <c r="B661" s="484"/>
      <c r="C661" s="554"/>
      <c r="E661" s="555"/>
    </row>
    <row r="662">
      <c r="B662" s="484"/>
      <c r="C662" s="554"/>
      <c r="E662" s="555"/>
    </row>
    <row r="663">
      <c r="B663" s="484"/>
      <c r="C663" s="554"/>
      <c r="E663" s="555"/>
    </row>
    <row r="664">
      <c r="B664" s="484"/>
      <c r="C664" s="554"/>
      <c r="E664" s="555"/>
    </row>
    <row r="665">
      <c r="B665" s="484"/>
      <c r="C665" s="554"/>
      <c r="E665" s="555"/>
    </row>
    <row r="666">
      <c r="B666" s="484"/>
      <c r="C666" s="554"/>
      <c r="E666" s="555"/>
    </row>
    <row r="667">
      <c r="B667" s="484"/>
      <c r="C667" s="554"/>
      <c r="E667" s="555"/>
    </row>
    <row r="668">
      <c r="B668" s="484"/>
      <c r="C668" s="554"/>
      <c r="E668" s="555"/>
    </row>
    <row r="669">
      <c r="B669" s="484"/>
      <c r="C669" s="554"/>
      <c r="E669" s="555"/>
    </row>
    <row r="670">
      <c r="B670" s="484"/>
      <c r="C670" s="554"/>
      <c r="E670" s="555"/>
    </row>
    <row r="671">
      <c r="B671" s="484"/>
      <c r="C671" s="554"/>
      <c r="E671" s="555"/>
    </row>
    <row r="672">
      <c r="B672" s="484"/>
      <c r="C672" s="554"/>
      <c r="E672" s="555"/>
    </row>
    <row r="673">
      <c r="B673" s="484"/>
      <c r="C673" s="554"/>
      <c r="E673" s="555"/>
    </row>
    <row r="674">
      <c r="B674" s="484"/>
      <c r="C674" s="554"/>
      <c r="E674" s="555"/>
    </row>
    <row r="675">
      <c r="B675" s="484"/>
      <c r="C675" s="554"/>
      <c r="E675" s="555"/>
    </row>
    <row r="676">
      <c r="B676" s="484"/>
      <c r="C676" s="554"/>
      <c r="E676" s="555"/>
    </row>
    <row r="677">
      <c r="B677" s="484"/>
      <c r="C677" s="554"/>
      <c r="E677" s="555"/>
    </row>
    <row r="678">
      <c r="B678" s="484"/>
      <c r="C678" s="554"/>
      <c r="E678" s="555"/>
    </row>
    <row r="679">
      <c r="B679" s="484"/>
      <c r="C679" s="554"/>
      <c r="E679" s="555"/>
    </row>
    <row r="680">
      <c r="B680" s="484"/>
      <c r="C680" s="554"/>
      <c r="E680" s="555"/>
    </row>
    <row r="681">
      <c r="B681" s="484"/>
      <c r="C681" s="554"/>
      <c r="E681" s="555"/>
    </row>
    <row r="682">
      <c r="B682" s="484"/>
      <c r="C682" s="554"/>
      <c r="E682" s="555"/>
    </row>
    <row r="683">
      <c r="B683" s="484"/>
      <c r="C683" s="554"/>
      <c r="E683" s="555"/>
    </row>
    <row r="684">
      <c r="B684" s="484"/>
      <c r="C684" s="554"/>
      <c r="E684" s="555"/>
    </row>
    <row r="685">
      <c r="B685" s="484"/>
      <c r="C685" s="554"/>
      <c r="E685" s="555"/>
    </row>
    <row r="686">
      <c r="B686" s="484"/>
      <c r="C686" s="554"/>
      <c r="E686" s="555"/>
    </row>
    <row r="687">
      <c r="B687" s="484"/>
      <c r="C687" s="554"/>
      <c r="E687" s="555"/>
    </row>
    <row r="688">
      <c r="B688" s="484"/>
      <c r="C688" s="554"/>
      <c r="E688" s="555"/>
    </row>
    <row r="689">
      <c r="B689" s="484"/>
      <c r="C689" s="554"/>
      <c r="E689" s="555"/>
    </row>
    <row r="690">
      <c r="B690" s="484"/>
      <c r="C690" s="554"/>
      <c r="E690" s="555"/>
    </row>
    <row r="691">
      <c r="B691" s="484"/>
      <c r="C691" s="554"/>
      <c r="E691" s="555"/>
    </row>
    <row r="692">
      <c r="B692" s="484"/>
      <c r="C692" s="554"/>
      <c r="E692" s="555"/>
    </row>
    <row r="693">
      <c r="B693" s="484"/>
      <c r="C693" s="554"/>
      <c r="E693" s="555"/>
    </row>
    <row r="694">
      <c r="B694" s="484"/>
      <c r="C694" s="554"/>
      <c r="E694" s="555"/>
    </row>
    <row r="695">
      <c r="B695" s="484"/>
      <c r="C695" s="554"/>
      <c r="E695" s="555"/>
    </row>
    <row r="696">
      <c r="B696" s="484"/>
      <c r="C696" s="554"/>
      <c r="E696" s="555"/>
    </row>
    <row r="697">
      <c r="B697" s="484"/>
      <c r="C697" s="554"/>
      <c r="E697" s="555"/>
    </row>
    <row r="698">
      <c r="B698" s="484"/>
      <c r="C698" s="554"/>
      <c r="E698" s="555"/>
    </row>
    <row r="699">
      <c r="B699" s="484"/>
      <c r="C699" s="554"/>
      <c r="E699" s="555"/>
    </row>
    <row r="700">
      <c r="B700" s="484"/>
      <c r="C700" s="554"/>
      <c r="E700" s="555"/>
    </row>
    <row r="701">
      <c r="B701" s="484"/>
      <c r="C701" s="554"/>
      <c r="E701" s="555"/>
    </row>
    <row r="702">
      <c r="B702" s="484"/>
      <c r="C702" s="554"/>
      <c r="E702" s="555"/>
    </row>
    <row r="703">
      <c r="B703" s="484"/>
      <c r="C703" s="554"/>
      <c r="E703" s="555"/>
    </row>
    <row r="704">
      <c r="B704" s="484"/>
      <c r="C704" s="554"/>
      <c r="E704" s="555"/>
    </row>
    <row r="705">
      <c r="B705" s="484"/>
      <c r="C705" s="554"/>
      <c r="E705" s="555"/>
    </row>
    <row r="706">
      <c r="B706" s="484"/>
      <c r="C706" s="554"/>
      <c r="E706" s="555"/>
    </row>
    <row r="707">
      <c r="B707" s="484"/>
      <c r="C707" s="554"/>
      <c r="E707" s="555"/>
    </row>
    <row r="708">
      <c r="B708" s="484"/>
      <c r="C708" s="554"/>
      <c r="E708" s="555"/>
    </row>
    <row r="709">
      <c r="B709" s="484"/>
      <c r="C709" s="554"/>
      <c r="E709" s="555"/>
    </row>
    <row r="710">
      <c r="B710" s="484"/>
      <c r="C710" s="554"/>
      <c r="E710" s="555"/>
    </row>
    <row r="711">
      <c r="B711" s="484"/>
      <c r="C711" s="554"/>
      <c r="E711" s="555"/>
    </row>
    <row r="712">
      <c r="B712" s="484"/>
      <c r="C712" s="554"/>
      <c r="E712" s="555"/>
    </row>
    <row r="713">
      <c r="B713" s="484"/>
      <c r="C713" s="554"/>
      <c r="E713" s="555"/>
    </row>
    <row r="714">
      <c r="B714" s="484"/>
      <c r="C714" s="554"/>
      <c r="E714" s="555"/>
    </row>
    <row r="715">
      <c r="B715" s="484"/>
      <c r="C715" s="554"/>
      <c r="E715" s="555"/>
    </row>
    <row r="716">
      <c r="B716" s="484"/>
      <c r="C716" s="554"/>
      <c r="E716" s="555"/>
    </row>
    <row r="717">
      <c r="B717" s="484"/>
      <c r="C717" s="554"/>
      <c r="E717" s="555"/>
    </row>
    <row r="718">
      <c r="B718" s="484"/>
      <c r="C718" s="554"/>
      <c r="E718" s="555"/>
    </row>
    <row r="719">
      <c r="B719" s="484"/>
      <c r="C719" s="554"/>
      <c r="E719" s="555"/>
    </row>
    <row r="720">
      <c r="B720" s="484"/>
      <c r="C720" s="554"/>
      <c r="E720" s="555"/>
    </row>
    <row r="721">
      <c r="B721" s="484"/>
      <c r="C721" s="554"/>
      <c r="E721" s="555"/>
    </row>
    <row r="722">
      <c r="B722" s="484"/>
      <c r="C722" s="554"/>
      <c r="E722" s="555"/>
    </row>
    <row r="723">
      <c r="B723" s="484"/>
      <c r="C723" s="554"/>
      <c r="E723" s="555"/>
    </row>
    <row r="724">
      <c r="B724" s="484"/>
      <c r="C724" s="554"/>
      <c r="E724" s="555"/>
    </row>
    <row r="725">
      <c r="B725" s="484"/>
      <c r="C725" s="554"/>
      <c r="E725" s="555"/>
    </row>
    <row r="726">
      <c r="B726" s="484"/>
      <c r="C726" s="554"/>
      <c r="E726" s="555"/>
    </row>
    <row r="727">
      <c r="B727" s="484"/>
      <c r="C727" s="554"/>
      <c r="E727" s="555"/>
    </row>
    <row r="728">
      <c r="B728" s="484"/>
      <c r="C728" s="554"/>
      <c r="E728" s="555"/>
    </row>
    <row r="729">
      <c r="B729" s="484"/>
      <c r="C729" s="554"/>
      <c r="E729" s="555"/>
    </row>
    <row r="730">
      <c r="B730" s="484"/>
      <c r="C730" s="554"/>
      <c r="E730" s="555"/>
    </row>
    <row r="731">
      <c r="B731" s="484"/>
      <c r="C731" s="554"/>
      <c r="E731" s="555"/>
    </row>
    <row r="732">
      <c r="B732" s="484"/>
      <c r="C732" s="554"/>
      <c r="E732" s="555"/>
    </row>
    <row r="733">
      <c r="B733" s="484"/>
      <c r="C733" s="554"/>
      <c r="E733" s="555"/>
    </row>
    <row r="734">
      <c r="B734" s="484"/>
      <c r="C734" s="554"/>
      <c r="E734" s="555"/>
    </row>
    <row r="735">
      <c r="B735" s="484"/>
      <c r="C735" s="554"/>
      <c r="E735" s="555"/>
    </row>
    <row r="736">
      <c r="B736" s="484"/>
      <c r="C736" s="554"/>
      <c r="E736" s="555"/>
    </row>
    <row r="737">
      <c r="B737" s="484"/>
      <c r="C737" s="554"/>
      <c r="E737" s="555"/>
    </row>
    <row r="738">
      <c r="B738" s="484"/>
      <c r="C738" s="554"/>
      <c r="E738" s="555"/>
    </row>
    <row r="739">
      <c r="B739" s="484"/>
      <c r="C739" s="554"/>
      <c r="E739" s="555"/>
    </row>
    <row r="740">
      <c r="B740" s="484"/>
      <c r="C740" s="554"/>
      <c r="E740" s="555"/>
    </row>
    <row r="741">
      <c r="B741" s="484"/>
      <c r="C741" s="554"/>
      <c r="E741" s="555"/>
    </row>
    <row r="742">
      <c r="B742" s="484"/>
      <c r="C742" s="554"/>
      <c r="E742" s="555"/>
    </row>
    <row r="743">
      <c r="B743" s="484"/>
      <c r="C743" s="554"/>
      <c r="E743" s="555"/>
    </row>
    <row r="744">
      <c r="B744" s="484"/>
      <c r="C744" s="554"/>
      <c r="E744" s="555"/>
    </row>
    <row r="745">
      <c r="B745" s="484"/>
      <c r="C745" s="554"/>
      <c r="E745" s="555"/>
    </row>
    <row r="746">
      <c r="B746" s="484"/>
      <c r="C746" s="554"/>
      <c r="E746" s="555"/>
    </row>
    <row r="747">
      <c r="B747" s="484"/>
      <c r="C747" s="554"/>
      <c r="E747" s="555"/>
    </row>
    <row r="748">
      <c r="B748" s="484"/>
      <c r="C748" s="554"/>
      <c r="E748" s="555"/>
    </row>
    <row r="749">
      <c r="B749" s="484"/>
      <c r="C749" s="554"/>
      <c r="E749" s="555"/>
    </row>
    <row r="750">
      <c r="B750" s="484"/>
      <c r="C750" s="554"/>
      <c r="E750" s="555"/>
    </row>
    <row r="751">
      <c r="B751" s="484"/>
      <c r="C751" s="554"/>
      <c r="E751" s="555"/>
    </row>
    <row r="752">
      <c r="B752" s="484"/>
      <c r="C752" s="554"/>
      <c r="E752" s="555"/>
    </row>
    <row r="753">
      <c r="B753" s="484"/>
      <c r="C753" s="554"/>
      <c r="E753" s="555"/>
    </row>
    <row r="754">
      <c r="B754" s="484"/>
      <c r="C754" s="554"/>
      <c r="E754" s="555"/>
    </row>
    <row r="755">
      <c r="B755" s="484"/>
      <c r="C755" s="554"/>
      <c r="E755" s="555"/>
    </row>
    <row r="756">
      <c r="B756" s="484"/>
      <c r="C756" s="554"/>
      <c r="E756" s="555"/>
    </row>
    <row r="757">
      <c r="B757" s="484"/>
      <c r="C757" s="554"/>
      <c r="E757" s="555"/>
    </row>
    <row r="758">
      <c r="B758" s="484"/>
      <c r="C758" s="554"/>
      <c r="E758" s="555"/>
    </row>
    <row r="759">
      <c r="B759" s="484"/>
      <c r="C759" s="554"/>
      <c r="E759" s="555"/>
    </row>
    <row r="760">
      <c r="B760" s="484"/>
      <c r="C760" s="554"/>
      <c r="E760" s="555"/>
    </row>
    <row r="761">
      <c r="B761" s="484"/>
      <c r="C761" s="554"/>
      <c r="E761" s="555"/>
    </row>
    <row r="762">
      <c r="B762" s="484"/>
      <c r="C762" s="554"/>
      <c r="E762" s="555"/>
    </row>
    <row r="763">
      <c r="B763" s="484"/>
      <c r="C763" s="554"/>
      <c r="E763" s="555"/>
    </row>
    <row r="764">
      <c r="B764" s="484"/>
      <c r="C764" s="554"/>
      <c r="E764" s="555"/>
    </row>
    <row r="765">
      <c r="B765" s="484"/>
      <c r="C765" s="554"/>
      <c r="E765" s="555"/>
    </row>
    <row r="766">
      <c r="B766" s="484"/>
      <c r="C766" s="554"/>
      <c r="E766" s="555"/>
    </row>
    <row r="767">
      <c r="B767" s="484"/>
      <c r="C767" s="554"/>
      <c r="E767" s="555"/>
    </row>
    <row r="768">
      <c r="B768" s="484"/>
      <c r="C768" s="554"/>
      <c r="E768" s="555"/>
    </row>
    <row r="769">
      <c r="B769" s="484"/>
      <c r="C769" s="554"/>
      <c r="E769" s="555"/>
    </row>
    <row r="770">
      <c r="B770" s="484"/>
      <c r="C770" s="554"/>
      <c r="E770" s="555"/>
    </row>
    <row r="771">
      <c r="B771" s="484"/>
      <c r="C771" s="554"/>
      <c r="E771" s="555"/>
    </row>
    <row r="772">
      <c r="B772" s="484"/>
      <c r="C772" s="554"/>
      <c r="E772" s="555"/>
    </row>
    <row r="773">
      <c r="B773" s="484"/>
      <c r="C773" s="554"/>
      <c r="E773" s="555"/>
    </row>
    <row r="774">
      <c r="B774" s="484"/>
      <c r="C774" s="554"/>
      <c r="E774" s="555"/>
    </row>
    <row r="775">
      <c r="B775" s="484"/>
      <c r="C775" s="554"/>
      <c r="E775" s="555"/>
    </row>
    <row r="776">
      <c r="B776" s="484"/>
      <c r="C776" s="554"/>
      <c r="E776" s="555"/>
    </row>
    <row r="777">
      <c r="B777" s="484"/>
      <c r="C777" s="554"/>
      <c r="E777" s="555"/>
    </row>
    <row r="778">
      <c r="B778" s="484"/>
      <c r="C778" s="554"/>
      <c r="E778" s="555"/>
    </row>
    <row r="779">
      <c r="B779" s="484"/>
      <c r="C779" s="554"/>
      <c r="E779" s="555"/>
    </row>
    <row r="780">
      <c r="B780" s="484"/>
      <c r="C780" s="554"/>
      <c r="E780" s="555"/>
    </row>
    <row r="781">
      <c r="B781" s="484"/>
      <c r="C781" s="554"/>
      <c r="E781" s="555"/>
    </row>
    <row r="782">
      <c r="B782" s="484"/>
      <c r="C782" s="554"/>
      <c r="E782" s="555"/>
    </row>
    <row r="783">
      <c r="B783" s="484"/>
      <c r="C783" s="554"/>
      <c r="E783" s="555"/>
    </row>
    <row r="784">
      <c r="B784" s="484"/>
      <c r="C784" s="554"/>
      <c r="E784" s="555"/>
    </row>
    <row r="785">
      <c r="B785" s="484"/>
      <c r="C785" s="554"/>
      <c r="E785" s="555"/>
    </row>
    <row r="786">
      <c r="B786" s="484"/>
      <c r="C786" s="554"/>
      <c r="E786" s="555"/>
    </row>
    <row r="787">
      <c r="B787" s="484"/>
      <c r="C787" s="554"/>
      <c r="E787" s="555"/>
    </row>
    <row r="788">
      <c r="B788" s="484"/>
      <c r="C788" s="554"/>
      <c r="E788" s="555"/>
    </row>
    <row r="789">
      <c r="B789" s="484"/>
      <c r="C789" s="554"/>
      <c r="E789" s="555"/>
    </row>
    <row r="790">
      <c r="B790" s="484"/>
      <c r="C790" s="554"/>
      <c r="E790" s="555"/>
    </row>
    <row r="791">
      <c r="B791" s="484"/>
      <c r="C791" s="554"/>
      <c r="E791" s="555"/>
    </row>
    <row r="792">
      <c r="B792" s="484"/>
      <c r="C792" s="554"/>
      <c r="E792" s="555"/>
    </row>
    <row r="793">
      <c r="B793" s="484"/>
      <c r="C793" s="554"/>
      <c r="E793" s="555"/>
    </row>
    <row r="794">
      <c r="B794" s="484"/>
      <c r="C794" s="554"/>
      <c r="E794" s="555"/>
    </row>
    <row r="795">
      <c r="B795" s="484"/>
      <c r="C795" s="554"/>
      <c r="E795" s="555"/>
    </row>
    <row r="796">
      <c r="B796" s="484"/>
      <c r="C796" s="554"/>
      <c r="E796" s="555"/>
    </row>
    <row r="797">
      <c r="B797" s="484"/>
      <c r="C797" s="554"/>
      <c r="E797" s="555"/>
    </row>
    <row r="798">
      <c r="B798" s="484"/>
      <c r="C798" s="554"/>
      <c r="E798" s="555"/>
    </row>
    <row r="799">
      <c r="B799" s="484"/>
      <c r="C799" s="554"/>
      <c r="E799" s="555"/>
    </row>
    <row r="800">
      <c r="B800" s="484"/>
      <c r="C800" s="554"/>
      <c r="E800" s="555"/>
    </row>
    <row r="801">
      <c r="B801" s="484"/>
      <c r="C801" s="554"/>
      <c r="E801" s="555"/>
    </row>
    <row r="802">
      <c r="B802" s="484"/>
      <c r="C802" s="554"/>
      <c r="E802" s="555"/>
    </row>
    <row r="803">
      <c r="B803" s="484"/>
      <c r="C803" s="554"/>
      <c r="E803" s="555"/>
    </row>
    <row r="804">
      <c r="B804" s="484"/>
      <c r="C804" s="554"/>
      <c r="E804" s="555"/>
    </row>
    <row r="805">
      <c r="B805" s="484"/>
      <c r="C805" s="554"/>
      <c r="E805" s="555"/>
    </row>
    <row r="806">
      <c r="B806" s="484"/>
      <c r="C806" s="554"/>
      <c r="E806" s="555"/>
    </row>
    <row r="807">
      <c r="B807" s="484"/>
      <c r="C807" s="554"/>
      <c r="E807" s="555"/>
    </row>
    <row r="808">
      <c r="B808" s="484"/>
      <c r="C808" s="554"/>
      <c r="E808" s="555"/>
    </row>
    <row r="809">
      <c r="B809" s="484"/>
      <c r="C809" s="554"/>
      <c r="E809" s="555"/>
    </row>
    <row r="810">
      <c r="B810" s="484"/>
      <c r="C810" s="554"/>
      <c r="E810" s="555"/>
    </row>
    <row r="811">
      <c r="B811" s="484"/>
      <c r="C811" s="554"/>
      <c r="E811" s="555"/>
    </row>
    <row r="812">
      <c r="B812" s="484"/>
      <c r="C812" s="554"/>
      <c r="E812" s="555"/>
    </row>
    <row r="813">
      <c r="B813" s="484"/>
      <c r="C813" s="554"/>
      <c r="E813" s="555"/>
    </row>
    <row r="814">
      <c r="B814" s="484"/>
      <c r="C814" s="554"/>
      <c r="E814" s="555"/>
    </row>
    <row r="815">
      <c r="B815" s="484"/>
      <c r="C815" s="554"/>
      <c r="E815" s="555"/>
    </row>
    <row r="816">
      <c r="B816" s="484"/>
      <c r="C816" s="554"/>
      <c r="E816" s="555"/>
    </row>
    <row r="817">
      <c r="B817" s="484"/>
      <c r="C817" s="554"/>
      <c r="E817" s="555"/>
    </row>
    <row r="818">
      <c r="B818" s="484"/>
      <c r="C818" s="554"/>
      <c r="E818" s="555"/>
    </row>
    <row r="819">
      <c r="B819" s="484"/>
      <c r="C819" s="554"/>
      <c r="E819" s="555"/>
    </row>
    <row r="820">
      <c r="B820" s="484"/>
      <c r="C820" s="554"/>
      <c r="E820" s="555"/>
    </row>
    <row r="821">
      <c r="B821" s="484"/>
      <c r="C821" s="554"/>
      <c r="E821" s="555"/>
    </row>
    <row r="822">
      <c r="B822" s="484"/>
      <c r="C822" s="554"/>
      <c r="E822" s="555"/>
    </row>
    <row r="823">
      <c r="B823" s="484"/>
      <c r="C823" s="554"/>
      <c r="E823" s="555"/>
    </row>
    <row r="824">
      <c r="B824" s="484"/>
      <c r="C824" s="554"/>
      <c r="E824" s="555"/>
    </row>
    <row r="825">
      <c r="B825" s="484"/>
      <c r="C825" s="554"/>
      <c r="E825" s="555"/>
    </row>
    <row r="826">
      <c r="B826" s="484"/>
      <c r="C826" s="554"/>
      <c r="E826" s="555"/>
    </row>
    <row r="827">
      <c r="B827" s="484"/>
      <c r="C827" s="554"/>
      <c r="E827" s="555"/>
    </row>
    <row r="828">
      <c r="B828" s="484"/>
      <c r="C828" s="554"/>
      <c r="E828" s="555"/>
    </row>
    <row r="829">
      <c r="B829" s="484"/>
      <c r="C829" s="554"/>
      <c r="E829" s="555"/>
    </row>
    <row r="830">
      <c r="B830" s="484"/>
      <c r="C830" s="554"/>
      <c r="E830" s="555"/>
    </row>
    <row r="831">
      <c r="B831" s="484"/>
      <c r="C831" s="554"/>
      <c r="E831" s="555"/>
    </row>
    <row r="832">
      <c r="B832" s="484"/>
      <c r="C832" s="554"/>
      <c r="E832" s="555"/>
    </row>
    <row r="833">
      <c r="B833" s="484"/>
      <c r="C833" s="554"/>
      <c r="E833" s="555"/>
    </row>
    <row r="834">
      <c r="B834" s="484"/>
      <c r="C834" s="554"/>
      <c r="E834" s="555"/>
    </row>
    <row r="835">
      <c r="B835" s="484"/>
      <c r="C835" s="554"/>
      <c r="E835" s="555"/>
    </row>
    <row r="836">
      <c r="B836" s="484"/>
      <c r="C836" s="554"/>
      <c r="E836" s="555"/>
    </row>
    <row r="837">
      <c r="B837" s="484"/>
      <c r="C837" s="554"/>
      <c r="E837" s="555"/>
    </row>
    <row r="838">
      <c r="B838" s="484"/>
      <c r="C838" s="554"/>
      <c r="E838" s="555"/>
    </row>
    <row r="839">
      <c r="B839" s="484"/>
      <c r="C839" s="554"/>
      <c r="E839" s="555"/>
    </row>
    <row r="840">
      <c r="B840" s="484"/>
      <c r="C840" s="554"/>
      <c r="E840" s="555"/>
    </row>
    <row r="841">
      <c r="B841" s="484"/>
      <c r="C841" s="554"/>
      <c r="E841" s="555"/>
    </row>
    <row r="842">
      <c r="B842" s="484"/>
      <c r="C842" s="554"/>
      <c r="E842" s="555"/>
    </row>
    <row r="843">
      <c r="B843" s="484"/>
      <c r="C843" s="554"/>
      <c r="E843" s="555"/>
    </row>
    <row r="844">
      <c r="B844" s="484"/>
      <c r="C844" s="554"/>
      <c r="E844" s="555"/>
    </row>
    <row r="845">
      <c r="B845" s="484"/>
      <c r="C845" s="554"/>
      <c r="E845" s="555"/>
    </row>
    <row r="846">
      <c r="B846" s="484"/>
      <c r="C846" s="554"/>
      <c r="E846" s="555"/>
    </row>
    <row r="847">
      <c r="B847" s="484"/>
      <c r="C847" s="554"/>
      <c r="E847" s="555"/>
    </row>
    <row r="848">
      <c r="B848" s="484"/>
      <c r="C848" s="554"/>
      <c r="E848" s="555"/>
    </row>
    <row r="849">
      <c r="B849" s="484"/>
      <c r="C849" s="554"/>
      <c r="E849" s="555"/>
    </row>
    <row r="850">
      <c r="B850" s="484"/>
      <c r="C850" s="554"/>
      <c r="E850" s="555"/>
    </row>
    <row r="851">
      <c r="B851" s="484"/>
      <c r="C851" s="554"/>
      <c r="E851" s="555"/>
    </row>
    <row r="852">
      <c r="B852" s="484"/>
      <c r="C852" s="554"/>
      <c r="E852" s="555"/>
    </row>
    <row r="853">
      <c r="B853" s="484"/>
      <c r="C853" s="554"/>
      <c r="E853" s="555"/>
    </row>
    <row r="854">
      <c r="B854" s="484"/>
      <c r="C854" s="554"/>
      <c r="E854" s="555"/>
    </row>
    <row r="855">
      <c r="B855" s="484"/>
      <c r="C855" s="554"/>
      <c r="E855" s="555"/>
    </row>
    <row r="856">
      <c r="B856" s="484"/>
      <c r="C856" s="554"/>
      <c r="E856" s="555"/>
    </row>
    <row r="857">
      <c r="B857" s="484"/>
      <c r="C857" s="554"/>
      <c r="E857" s="555"/>
    </row>
    <row r="858">
      <c r="B858" s="484"/>
      <c r="C858" s="554"/>
      <c r="E858" s="555"/>
    </row>
    <row r="859">
      <c r="B859" s="484"/>
      <c r="C859" s="554"/>
      <c r="E859" s="555"/>
    </row>
    <row r="860">
      <c r="B860" s="484"/>
      <c r="C860" s="554"/>
      <c r="E860" s="555"/>
    </row>
    <row r="861">
      <c r="B861" s="484"/>
      <c r="C861" s="554"/>
      <c r="E861" s="555"/>
    </row>
    <row r="862">
      <c r="B862" s="484"/>
      <c r="C862" s="554"/>
      <c r="E862" s="555"/>
    </row>
    <row r="863">
      <c r="B863" s="484"/>
      <c r="C863" s="554"/>
      <c r="E863" s="555"/>
    </row>
    <row r="864">
      <c r="B864" s="484"/>
      <c r="C864" s="554"/>
      <c r="E864" s="555"/>
    </row>
    <row r="865">
      <c r="B865" s="484"/>
      <c r="C865" s="554"/>
      <c r="E865" s="555"/>
    </row>
    <row r="866">
      <c r="B866" s="484"/>
      <c r="C866" s="554"/>
      <c r="E866" s="555"/>
    </row>
    <row r="867">
      <c r="B867" s="484"/>
      <c r="C867" s="554"/>
      <c r="E867" s="555"/>
    </row>
    <row r="868">
      <c r="B868" s="484"/>
      <c r="C868" s="554"/>
      <c r="E868" s="555"/>
    </row>
    <row r="869">
      <c r="B869" s="484"/>
      <c r="C869" s="554"/>
      <c r="E869" s="555"/>
    </row>
    <row r="870">
      <c r="B870" s="484"/>
      <c r="C870" s="554"/>
      <c r="E870" s="555"/>
    </row>
    <row r="871">
      <c r="B871" s="484"/>
      <c r="C871" s="554"/>
      <c r="E871" s="555"/>
    </row>
    <row r="872">
      <c r="B872" s="484"/>
      <c r="C872" s="554"/>
      <c r="E872" s="555"/>
    </row>
    <row r="873">
      <c r="B873" s="484"/>
      <c r="C873" s="554"/>
      <c r="E873" s="555"/>
    </row>
    <row r="874">
      <c r="B874" s="484"/>
      <c r="C874" s="554"/>
      <c r="E874" s="555"/>
    </row>
    <row r="875">
      <c r="B875" s="484"/>
      <c r="C875" s="554"/>
      <c r="E875" s="555"/>
    </row>
    <row r="876">
      <c r="B876" s="484"/>
      <c r="C876" s="554"/>
      <c r="E876" s="555"/>
    </row>
    <row r="877">
      <c r="B877" s="484"/>
      <c r="C877" s="554"/>
      <c r="E877" s="555"/>
    </row>
    <row r="878">
      <c r="B878" s="484"/>
      <c r="C878" s="554"/>
      <c r="E878" s="555"/>
    </row>
    <row r="879">
      <c r="B879" s="484"/>
      <c r="C879" s="554"/>
      <c r="E879" s="555"/>
    </row>
    <row r="880">
      <c r="B880" s="484"/>
      <c r="C880" s="554"/>
      <c r="E880" s="555"/>
    </row>
    <row r="881">
      <c r="B881" s="484"/>
      <c r="C881" s="554"/>
      <c r="E881" s="555"/>
    </row>
    <row r="882">
      <c r="B882" s="484"/>
      <c r="C882" s="554"/>
      <c r="E882" s="555"/>
    </row>
    <row r="883">
      <c r="B883" s="484"/>
      <c r="C883" s="554"/>
      <c r="E883" s="555"/>
    </row>
    <row r="884">
      <c r="B884" s="484"/>
      <c r="C884" s="554"/>
      <c r="E884" s="555"/>
    </row>
    <row r="885">
      <c r="B885" s="484"/>
      <c r="C885" s="554"/>
      <c r="E885" s="555"/>
    </row>
    <row r="886">
      <c r="B886" s="484"/>
      <c r="C886" s="554"/>
      <c r="E886" s="555"/>
    </row>
    <row r="887">
      <c r="B887" s="484"/>
      <c r="C887" s="554"/>
      <c r="E887" s="555"/>
    </row>
    <row r="888">
      <c r="B888" s="484"/>
      <c r="C888" s="554"/>
      <c r="E888" s="555"/>
    </row>
    <row r="889">
      <c r="B889" s="484"/>
      <c r="C889" s="554"/>
      <c r="E889" s="555"/>
    </row>
    <row r="890">
      <c r="B890" s="484"/>
      <c r="C890" s="554"/>
      <c r="E890" s="555"/>
    </row>
    <row r="891">
      <c r="B891" s="484"/>
      <c r="C891" s="554"/>
      <c r="E891" s="555"/>
    </row>
    <row r="892">
      <c r="B892" s="484"/>
      <c r="C892" s="554"/>
      <c r="E892" s="555"/>
    </row>
    <row r="893">
      <c r="B893" s="484"/>
      <c r="C893" s="554"/>
      <c r="E893" s="555"/>
    </row>
    <row r="894">
      <c r="B894" s="484"/>
      <c r="C894" s="554"/>
      <c r="E894" s="555"/>
    </row>
    <row r="895">
      <c r="B895" s="484"/>
      <c r="C895" s="554"/>
      <c r="E895" s="555"/>
    </row>
    <row r="896">
      <c r="B896" s="484"/>
      <c r="C896" s="554"/>
      <c r="E896" s="555"/>
    </row>
    <row r="897">
      <c r="B897" s="484"/>
      <c r="C897" s="554"/>
      <c r="E897" s="555"/>
    </row>
    <row r="898">
      <c r="B898" s="484"/>
      <c r="C898" s="554"/>
      <c r="E898" s="555"/>
    </row>
    <row r="899">
      <c r="B899" s="484"/>
      <c r="C899" s="554"/>
      <c r="E899" s="555"/>
    </row>
    <row r="900">
      <c r="B900" s="484"/>
      <c r="C900" s="554"/>
      <c r="E900" s="555"/>
    </row>
    <row r="901">
      <c r="B901" s="484"/>
      <c r="C901" s="554"/>
      <c r="E901" s="555"/>
    </row>
    <row r="902">
      <c r="B902" s="484"/>
      <c r="C902" s="554"/>
      <c r="E902" s="555"/>
    </row>
    <row r="903">
      <c r="B903" s="484"/>
      <c r="C903" s="554"/>
      <c r="E903" s="555"/>
    </row>
    <row r="904">
      <c r="B904" s="484"/>
      <c r="C904" s="554"/>
      <c r="E904" s="555"/>
    </row>
    <row r="905">
      <c r="B905" s="484"/>
      <c r="C905" s="554"/>
      <c r="E905" s="555"/>
    </row>
    <row r="906">
      <c r="B906" s="484"/>
      <c r="C906" s="554"/>
      <c r="E906" s="555"/>
    </row>
    <row r="907">
      <c r="B907" s="484"/>
      <c r="C907" s="554"/>
      <c r="E907" s="555"/>
    </row>
    <row r="908">
      <c r="B908" s="484"/>
      <c r="C908" s="554"/>
      <c r="E908" s="555"/>
    </row>
    <row r="909">
      <c r="B909" s="484"/>
      <c r="C909" s="554"/>
      <c r="E909" s="555"/>
    </row>
    <row r="910">
      <c r="B910" s="484"/>
      <c r="C910" s="554"/>
      <c r="E910" s="555"/>
    </row>
    <row r="911">
      <c r="B911" s="484"/>
      <c r="C911" s="554"/>
      <c r="E911" s="555"/>
    </row>
    <row r="912">
      <c r="B912" s="484"/>
      <c r="C912" s="554"/>
      <c r="E912" s="555"/>
    </row>
    <row r="913">
      <c r="B913" s="484"/>
      <c r="C913" s="554"/>
      <c r="E913" s="555"/>
    </row>
    <row r="914">
      <c r="B914" s="484"/>
      <c r="C914" s="554"/>
      <c r="E914" s="555"/>
    </row>
    <row r="915">
      <c r="B915" s="484"/>
      <c r="C915" s="554"/>
      <c r="E915" s="555"/>
    </row>
    <row r="916">
      <c r="B916" s="484"/>
      <c r="C916" s="554"/>
      <c r="E916" s="555"/>
    </row>
    <row r="917">
      <c r="B917" s="484"/>
      <c r="C917" s="554"/>
      <c r="E917" s="555"/>
    </row>
    <row r="918">
      <c r="B918" s="484"/>
      <c r="C918" s="554"/>
      <c r="E918" s="555"/>
    </row>
    <row r="919">
      <c r="B919" s="484"/>
      <c r="C919" s="554"/>
      <c r="E919" s="555"/>
    </row>
    <row r="920">
      <c r="B920" s="484"/>
      <c r="C920" s="554"/>
      <c r="E920" s="555"/>
    </row>
    <row r="921">
      <c r="B921" s="484"/>
      <c r="C921" s="554"/>
      <c r="E921" s="555"/>
    </row>
    <row r="922">
      <c r="B922" s="484"/>
      <c r="C922" s="554"/>
      <c r="E922" s="555"/>
    </row>
    <row r="923">
      <c r="B923" s="484"/>
      <c r="C923" s="554"/>
      <c r="E923" s="555"/>
    </row>
    <row r="924">
      <c r="B924" s="484"/>
      <c r="C924" s="554"/>
      <c r="E924" s="555"/>
    </row>
    <row r="925">
      <c r="B925" s="484"/>
      <c r="C925" s="554"/>
      <c r="E925" s="555"/>
    </row>
    <row r="926">
      <c r="B926" s="484"/>
      <c r="C926" s="554"/>
      <c r="E926" s="555"/>
    </row>
    <row r="927">
      <c r="B927" s="484"/>
      <c r="C927" s="554"/>
      <c r="E927" s="555"/>
    </row>
    <row r="928">
      <c r="B928" s="484"/>
      <c r="C928" s="554"/>
      <c r="E928" s="555"/>
    </row>
    <row r="929">
      <c r="B929" s="484"/>
      <c r="C929" s="554"/>
      <c r="E929" s="555"/>
    </row>
    <row r="930">
      <c r="B930" s="484"/>
      <c r="C930" s="554"/>
      <c r="E930" s="555"/>
    </row>
    <row r="931">
      <c r="B931" s="484"/>
      <c r="C931" s="554"/>
      <c r="E931" s="555"/>
    </row>
    <row r="932">
      <c r="B932" s="484"/>
      <c r="C932" s="554"/>
      <c r="E932" s="555"/>
    </row>
    <row r="933">
      <c r="B933" s="484"/>
      <c r="C933" s="554"/>
      <c r="E933" s="555"/>
    </row>
    <row r="934">
      <c r="B934" s="484"/>
      <c r="C934" s="554"/>
      <c r="E934" s="555"/>
    </row>
    <row r="935">
      <c r="B935" s="484"/>
      <c r="C935" s="554"/>
      <c r="E935" s="555"/>
    </row>
    <row r="936">
      <c r="B936" s="484"/>
      <c r="C936" s="554"/>
      <c r="E936" s="555"/>
    </row>
    <row r="937">
      <c r="B937" s="484"/>
      <c r="C937" s="554"/>
      <c r="E937" s="555"/>
    </row>
    <row r="938">
      <c r="B938" s="484"/>
      <c r="C938" s="554"/>
      <c r="E938" s="555"/>
    </row>
    <row r="939">
      <c r="B939" s="484"/>
      <c r="C939" s="554"/>
      <c r="E939" s="555"/>
    </row>
    <row r="940">
      <c r="B940" s="484"/>
      <c r="C940" s="554"/>
      <c r="E940" s="555"/>
    </row>
    <row r="941">
      <c r="B941" s="484"/>
      <c r="C941" s="554"/>
      <c r="E941" s="555"/>
    </row>
    <row r="942">
      <c r="B942" s="484"/>
      <c r="C942" s="554"/>
      <c r="E942" s="555"/>
    </row>
    <row r="943">
      <c r="B943" s="484"/>
      <c r="C943" s="554"/>
      <c r="E943" s="555"/>
    </row>
    <row r="944">
      <c r="B944" s="484"/>
      <c r="C944" s="554"/>
      <c r="E944" s="555"/>
    </row>
    <row r="945">
      <c r="B945" s="484"/>
      <c r="C945" s="554"/>
      <c r="E945" s="555"/>
    </row>
    <row r="946">
      <c r="B946" s="484"/>
      <c r="C946" s="554"/>
      <c r="E946" s="555"/>
    </row>
    <row r="947">
      <c r="B947" s="484"/>
      <c r="C947" s="554"/>
      <c r="E947" s="555"/>
    </row>
    <row r="948">
      <c r="B948" s="484"/>
      <c r="C948" s="554"/>
      <c r="E948" s="555"/>
    </row>
    <row r="949">
      <c r="B949" s="484"/>
      <c r="C949" s="554"/>
      <c r="E949" s="555"/>
    </row>
    <row r="950">
      <c r="B950" s="484"/>
      <c r="C950" s="554"/>
      <c r="E950" s="555"/>
    </row>
    <row r="951">
      <c r="B951" s="484"/>
      <c r="C951" s="554"/>
      <c r="E951" s="555"/>
    </row>
    <row r="952">
      <c r="B952" s="484"/>
      <c r="C952" s="554"/>
      <c r="E952" s="555"/>
    </row>
    <row r="953">
      <c r="B953" s="484"/>
      <c r="C953" s="554"/>
      <c r="E953" s="555"/>
    </row>
    <row r="954">
      <c r="B954" s="484"/>
      <c r="C954" s="554"/>
      <c r="E954" s="555"/>
    </row>
    <row r="955">
      <c r="B955" s="484"/>
      <c r="C955" s="554"/>
      <c r="E955" s="555"/>
    </row>
    <row r="956">
      <c r="B956" s="484"/>
      <c r="C956" s="554"/>
      <c r="E956" s="555"/>
    </row>
    <row r="957">
      <c r="B957" s="484"/>
      <c r="C957" s="554"/>
      <c r="E957" s="555"/>
    </row>
    <row r="958">
      <c r="B958" s="484"/>
      <c r="C958" s="554"/>
      <c r="E958" s="555"/>
    </row>
    <row r="959">
      <c r="B959" s="484"/>
      <c r="C959" s="554"/>
      <c r="E959" s="555"/>
    </row>
    <row r="960">
      <c r="B960" s="484"/>
      <c r="C960" s="554"/>
      <c r="E960" s="555"/>
    </row>
    <row r="961">
      <c r="B961" s="484"/>
      <c r="C961" s="554"/>
      <c r="E961" s="555"/>
    </row>
    <row r="962">
      <c r="B962" s="484"/>
      <c r="C962" s="554"/>
      <c r="E962" s="555"/>
    </row>
    <row r="963">
      <c r="B963" s="484"/>
      <c r="C963" s="554"/>
      <c r="E963" s="555"/>
    </row>
    <row r="964">
      <c r="B964" s="484"/>
      <c r="C964" s="554"/>
      <c r="E964" s="555"/>
    </row>
    <row r="965">
      <c r="B965" s="484"/>
      <c r="C965" s="554"/>
      <c r="E965" s="555"/>
    </row>
    <row r="966">
      <c r="B966" s="484"/>
      <c r="C966" s="554"/>
      <c r="E966" s="555"/>
    </row>
    <row r="967">
      <c r="B967" s="484"/>
      <c r="C967" s="554"/>
      <c r="E967" s="555"/>
    </row>
    <row r="968">
      <c r="B968" s="484"/>
      <c r="C968" s="554"/>
      <c r="E968" s="555"/>
    </row>
    <row r="969">
      <c r="B969" s="484"/>
      <c r="C969" s="554"/>
      <c r="E969" s="555"/>
    </row>
    <row r="970">
      <c r="B970" s="484"/>
      <c r="C970" s="554"/>
      <c r="E970" s="555"/>
    </row>
    <row r="971">
      <c r="B971" s="484"/>
      <c r="C971" s="554"/>
      <c r="E971" s="555"/>
    </row>
    <row r="972">
      <c r="B972" s="484"/>
      <c r="C972" s="554"/>
      <c r="E972" s="555"/>
    </row>
    <row r="973">
      <c r="B973" s="484"/>
      <c r="C973" s="554"/>
      <c r="E973" s="555"/>
    </row>
    <row r="974">
      <c r="B974" s="484"/>
      <c r="C974" s="554"/>
      <c r="E974" s="555"/>
    </row>
    <row r="975">
      <c r="B975" s="484"/>
      <c r="C975" s="554"/>
      <c r="E975" s="555"/>
    </row>
    <row r="976">
      <c r="B976" s="484"/>
      <c r="C976" s="554"/>
      <c r="E976" s="555"/>
    </row>
    <row r="977">
      <c r="B977" s="484"/>
      <c r="C977" s="554"/>
      <c r="E977" s="555"/>
    </row>
    <row r="978">
      <c r="B978" s="484"/>
      <c r="C978" s="554"/>
      <c r="E978" s="555"/>
    </row>
    <row r="979">
      <c r="B979" s="484"/>
      <c r="C979" s="554"/>
      <c r="E979" s="555"/>
    </row>
    <row r="980">
      <c r="B980" s="484"/>
      <c r="C980" s="554"/>
      <c r="E980" s="555"/>
    </row>
    <row r="981">
      <c r="B981" s="484"/>
      <c r="C981" s="554"/>
      <c r="E981" s="555"/>
    </row>
    <row r="982">
      <c r="B982" s="484"/>
      <c r="C982" s="554"/>
      <c r="E982" s="555"/>
    </row>
    <row r="983">
      <c r="B983" s="484"/>
      <c r="C983" s="554"/>
      <c r="E983" s="555"/>
    </row>
    <row r="984">
      <c r="B984" s="484"/>
      <c r="C984" s="554"/>
      <c r="E984" s="555"/>
    </row>
    <row r="985">
      <c r="B985" s="484"/>
      <c r="C985" s="554"/>
      <c r="E985" s="555"/>
    </row>
    <row r="986">
      <c r="B986" s="484"/>
      <c r="C986" s="554"/>
      <c r="E986" s="555"/>
    </row>
    <row r="987">
      <c r="B987" s="484"/>
      <c r="C987" s="554"/>
      <c r="E987" s="555"/>
    </row>
    <row r="988">
      <c r="B988" s="484"/>
      <c r="C988" s="554"/>
      <c r="E988" s="555"/>
    </row>
    <row r="989">
      <c r="B989" s="484"/>
      <c r="C989" s="554"/>
      <c r="E989" s="555"/>
    </row>
    <row r="990">
      <c r="B990" s="484"/>
      <c r="C990" s="554"/>
      <c r="E990" s="555"/>
    </row>
    <row r="991">
      <c r="B991" s="484"/>
      <c r="C991" s="554"/>
      <c r="E991" s="555"/>
    </row>
    <row r="992">
      <c r="B992" s="484"/>
      <c r="C992" s="554"/>
      <c r="E992" s="555"/>
    </row>
    <row r="993">
      <c r="B993" s="484"/>
      <c r="C993" s="554"/>
      <c r="E993" s="555"/>
    </row>
    <row r="994">
      <c r="B994" s="484"/>
      <c r="C994" s="554"/>
      <c r="E994" s="555"/>
    </row>
    <row r="995">
      <c r="B995" s="484"/>
      <c r="C995" s="554"/>
      <c r="E995" s="555"/>
    </row>
    <row r="996">
      <c r="B996" s="484"/>
      <c r="C996" s="554"/>
      <c r="E996" s="555"/>
    </row>
    <row r="997">
      <c r="B997" s="484"/>
      <c r="C997" s="554"/>
      <c r="E997" s="555"/>
    </row>
    <row r="998">
      <c r="B998" s="484"/>
      <c r="C998" s="554"/>
      <c r="E998" s="555"/>
    </row>
    <row r="999">
      <c r="B999" s="484"/>
      <c r="C999" s="554"/>
      <c r="E999" s="555"/>
    </row>
    <row r="1000">
      <c r="B1000" s="484"/>
      <c r="C1000" s="554"/>
      <c r="E1000" s="555"/>
    </row>
    <row r="1001">
      <c r="B1001" s="484"/>
      <c r="C1001" s="554"/>
      <c r="E1001" s="555"/>
    </row>
    <row r="1002">
      <c r="B1002" s="484"/>
      <c r="C1002" s="554"/>
      <c r="E1002" s="555"/>
    </row>
    <row r="1003">
      <c r="B1003" s="484"/>
      <c r="C1003" s="554"/>
      <c r="E1003" s="555"/>
    </row>
    <row r="1004">
      <c r="B1004" s="484"/>
      <c r="C1004" s="554"/>
      <c r="E1004" s="555"/>
    </row>
  </sheetData>
  <mergeCells count="2">
    <mergeCell ref="A1:F1"/>
    <mergeCell ref="A41:F42"/>
  </mergeCell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5.25"/>
    <col customWidth="1" min="2" max="2" width="16.63"/>
    <col customWidth="1" min="3" max="3" width="13.25"/>
    <col customWidth="1" min="4" max="4" width="11.25"/>
    <col customWidth="1" min="5" max="5" width="12.5"/>
    <col customWidth="1" min="6" max="6" width="13.5"/>
    <col customWidth="1" min="8" max="8" width="4.75"/>
    <col customWidth="1" min="9" max="9" width="11.38"/>
  </cols>
  <sheetData>
    <row r="1">
      <c r="A1" s="562"/>
      <c r="B1" s="563"/>
      <c r="C1" s="562"/>
      <c r="D1" s="564"/>
      <c r="E1" s="565"/>
      <c r="F1" s="566"/>
      <c r="G1" s="567"/>
    </row>
    <row r="2">
      <c r="A2" s="568" t="s">
        <v>661</v>
      </c>
      <c r="B2" s="569"/>
      <c r="C2" s="570" t="s">
        <v>3</v>
      </c>
      <c r="D2" s="571" t="s">
        <v>662</v>
      </c>
      <c r="E2" s="572" t="s">
        <v>663</v>
      </c>
      <c r="F2" s="571" t="s">
        <v>664</v>
      </c>
      <c r="G2" s="572" t="s">
        <v>665</v>
      </c>
      <c r="H2" s="238"/>
      <c r="I2" s="573" t="s">
        <v>666</v>
      </c>
      <c r="J2" s="557"/>
      <c r="K2" s="558"/>
      <c r="L2" s="238"/>
    </row>
    <row r="3">
      <c r="A3" s="574"/>
      <c r="B3" s="575"/>
      <c r="C3" s="576"/>
      <c r="D3" s="576"/>
      <c r="E3" s="576"/>
      <c r="F3" s="576"/>
      <c r="G3" s="577"/>
      <c r="H3" s="238"/>
      <c r="I3" s="559"/>
      <c r="J3" s="560"/>
      <c r="K3" s="561"/>
      <c r="L3" s="238"/>
    </row>
    <row r="4">
      <c r="A4" s="578"/>
      <c r="B4" s="579" t="s">
        <v>667</v>
      </c>
      <c r="C4" s="580">
        <v>129500.0</v>
      </c>
      <c r="D4" s="581">
        <v>0.05</v>
      </c>
      <c r="E4" s="582">
        <f>C4*D4</f>
        <v>6475</v>
      </c>
      <c r="F4" s="583">
        <f>C4+E4</f>
        <v>135975</v>
      </c>
      <c r="G4" s="584"/>
      <c r="I4" s="585" t="s">
        <v>668</v>
      </c>
      <c r="J4" s="11"/>
      <c r="K4" s="12"/>
      <c r="L4" s="238"/>
    </row>
    <row r="5">
      <c r="A5" s="574"/>
      <c r="B5" s="586"/>
      <c r="C5" s="587"/>
      <c r="D5" s="587"/>
      <c r="E5" s="587"/>
      <c r="F5" s="587"/>
      <c r="G5" s="588"/>
      <c r="I5" s="585" t="s">
        <v>669</v>
      </c>
      <c r="J5" s="11"/>
      <c r="K5" s="12"/>
      <c r="L5" s="238"/>
    </row>
    <row r="6">
      <c r="A6" s="578"/>
      <c r="B6" s="589" t="s">
        <v>670</v>
      </c>
      <c r="C6" s="580">
        <v>400000.0</v>
      </c>
      <c r="D6" s="581">
        <v>0.0</v>
      </c>
      <c r="E6" s="590">
        <f>C6*D6</f>
        <v>0</v>
      </c>
      <c r="F6" s="583">
        <f>C6+E6</f>
        <v>400000</v>
      </c>
      <c r="G6" s="590">
        <f>F6/3</f>
        <v>133333.3333</v>
      </c>
      <c r="I6" s="591" t="s">
        <v>671</v>
      </c>
      <c r="J6" s="11"/>
      <c r="K6" s="12"/>
      <c r="L6" s="238"/>
    </row>
    <row r="7">
      <c r="A7" s="574"/>
      <c r="B7" s="592"/>
      <c r="C7" s="587"/>
      <c r="D7" s="587"/>
      <c r="E7" s="587"/>
      <c r="F7" s="587"/>
      <c r="G7" s="588"/>
      <c r="I7" s="585" t="s">
        <v>672</v>
      </c>
      <c r="J7" s="11"/>
      <c r="K7" s="12"/>
      <c r="L7" s="238"/>
    </row>
    <row r="8">
      <c r="A8" s="578"/>
      <c r="B8" s="589" t="s">
        <v>673</v>
      </c>
      <c r="C8" s="580">
        <v>400000.0</v>
      </c>
      <c r="D8" s="581">
        <v>0.4</v>
      </c>
      <c r="E8" s="590">
        <f>C8*D8</f>
        <v>160000</v>
      </c>
      <c r="F8" s="593">
        <f>C8+E8</f>
        <v>560000</v>
      </c>
      <c r="G8" s="590">
        <f>F8/6</f>
        <v>93333.33333</v>
      </c>
      <c r="I8" s="594" t="s">
        <v>674</v>
      </c>
      <c r="J8" s="557"/>
      <c r="K8" s="558"/>
      <c r="L8" s="238"/>
    </row>
    <row r="9">
      <c r="A9" s="574"/>
      <c r="B9" s="586"/>
      <c r="C9" s="587"/>
      <c r="D9" s="587"/>
      <c r="E9" s="587"/>
      <c r="F9" s="587"/>
      <c r="G9" s="588"/>
      <c r="I9" s="595"/>
      <c r="K9" s="596"/>
      <c r="L9" s="238"/>
    </row>
    <row r="10">
      <c r="A10" s="578"/>
      <c r="B10" s="579" t="s">
        <v>675</v>
      </c>
      <c r="C10" s="580">
        <v>829400.0</v>
      </c>
      <c r="D10" s="581">
        <v>0.8</v>
      </c>
      <c r="E10" s="590">
        <f>C10*D10</f>
        <v>663520</v>
      </c>
      <c r="F10" s="593">
        <f>C10+E10</f>
        <v>1492920</v>
      </c>
      <c r="G10" s="590">
        <f>F10/9</f>
        <v>165880</v>
      </c>
      <c r="I10" s="595"/>
      <c r="K10" s="596"/>
    </row>
    <row r="11">
      <c r="A11" s="574"/>
      <c r="B11" s="586"/>
      <c r="C11" s="587"/>
      <c r="D11" s="587"/>
      <c r="E11" s="587"/>
      <c r="F11" s="587"/>
      <c r="G11" s="588"/>
      <c r="I11" s="595"/>
      <c r="K11" s="596"/>
    </row>
    <row r="12">
      <c r="A12" s="578"/>
      <c r="B12" s="579" t="s">
        <v>676</v>
      </c>
      <c r="C12" s="580">
        <v>770000.0</v>
      </c>
      <c r="D12" s="581">
        <v>0.95</v>
      </c>
      <c r="E12" s="590">
        <f>C12*D12</f>
        <v>731500</v>
      </c>
      <c r="F12" s="593">
        <f>E12+C12</f>
        <v>1501500</v>
      </c>
      <c r="G12" s="590">
        <f>F12/12</f>
        <v>125125</v>
      </c>
      <c r="I12" s="595"/>
      <c r="K12" s="596"/>
    </row>
    <row r="13">
      <c r="A13" s="597"/>
      <c r="B13" s="598"/>
      <c r="C13" s="587"/>
      <c r="D13" s="587"/>
      <c r="E13" s="587"/>
      <c r="F13" s="587"/>
      <c r="G13" s="588"/>
      <c r="H13" s="238"/>
      <c r="I13" s="559"/>
      <c r="J13" s="560"/>
      <c r="K13" s="561"/>
    </row>
    <row r="14">
      <c r="A14" s="599"/>
      <c r="B14" s="600"/>
      <c r="C14" s="601"/>
      <c r="D14" s="599"/>
      <c r="E14" s="602"/>
      <c r="F14" s="603">
        <v>391.0</v>
      </c>
      <c r="G14" s="604"/>
      <c r="H14" s="599"/>
      <c r="I14" s="605"/>
      <c r="J14" s="605"/>
      <c r="K14" s="605"/>
      <c r="L14" s="605"/>
      <c r="M14" s="605"/>
      <c r="N14" s="605"/>
    </row>
    <row r="15">
      <c r="A15" s="238"/>
      <c r="B15" s="606"/>
      <c r="C15" s="164"/>
      <c r="E15" s="240" t="s">
        <v>24</v>
      </c>
      <c r="H15" s="238"/>
    </row>
    <row r="16">
      <c r="A16" s="607" t="s">
        <v>677</v>
      </c>
      <c r="B16" s="608"/>
      <c r="C16" s="609" t="s">
        <v>3</v>
      </c>
      <c r="D16" s="609" t="s">
        <v>662</v>
      </c>
      <c r="E16" s="610" t="s">
        <v>663</v>
      </c>
      <c r="F16" s="609" t="s">
        <v>664</v>
      </c>
      <c r="G16" s="610" t="s">
        <v>665</v>
      </c>
      <c r="H16" s="238"/>
      <c r="I16" s="611" t="s">
        <v>678</v>
      </c>
      <c r="J16" s="557"/>
      <c r="K16" s="558"/>
      <c r="L16" s="238"/>
    </row>
    <row r="17">
      <c r="A17" s="574"/>
      <c r="B17" s="612"/>
      <c r="C17" s="587"/>
      <c r="D17" s="587"/>
      <c r="E17" s="587"/>
      <c r="F17" s="587"/>
      <c r="G17" s="588"/>
      <c r="H17" s="238"/>
      <c r="I17" s="559"/>
      <c r="J17" s="560"/>
      <c r="K17" s="561"/>
      <c r="L17" s="238"/>
    </row>
    <row r="18">
      <c r="A18" s="578"/>
      <c r="B18" s="589" t="s">
        <v>679</v>
      </c>
      <c r="C18" s="580">
        <v>59900.0</v>
      </c>
      <c r="D18" s="613">
        <v>0.05</v>
      </c>
      <c r="E18" s="614">
        <f>C18*D18</f>
        <v>2995</v>
      </c>
      <c r="F18" s="615">
        <f>C18+E18</f>
        <v>62895</v>
      </c>
      <c r="G18" s="614"/>
      <c r="H18" s="238"/>
      <c r="I18" s="585" t="s">
        <v>680</v>
      </c>
      <c r="J18" s="11"/>
      <c r="K18" s="12"/>
      <c r="L18" s="238"/>
    </row>
    <row r="19">
      <c r="A19" s="574"/>
      <c r="B19" s="616"/>
      <c r="C19" s="587"/>
      <c r="D19" s="587"/>
      <c r="E19" s="587"/>
      <c r="F19" s="587"/>
      <c r="G19" s="588"/>
      <c r="H19" s="238"/>
      <c r="I19" s="585" t="s">
        <v>681</v>
      </c>
      <c r="J19" s="11"/>
      <c r="K19" s="12"/>
      <c r="L19" s="238"/>
    </row>
    <row r="20">
      <c r="A20" s="578"/>
      <c r="B20" s="589" t="s">
        <v>670</v>
      </c>
      <c r="C20" s="617">
        <v>540000.0</v>
      </c>
      <c r="D20" s="613">
        <v>0.3</v>
      </c>
      <c r="E20" s="614">
        <f>C20*D20</f>
        <v>162000</v>
      </c>
      <c r="F20" s="618">
        <f>C20+E20</f>
        <v>702000</v>
      </c>
      <c r="G20" s="619">
        <f>F20/3</f>
        <v>234000</v>
      </c>
      <c r="H20" s="238"/>
      <c r="I20" s="591" t="s">
        <v>671</v>
      </c>
      <c r="J20" s="11"/>
      <c r="K20" s="12"/>
      <c r="L20" s="238"/>
      <c r="M20" s="58" t="s">
        <v>24</v>
      </c>
    </row>
    <row r="21">
      <c r="A21" s="574"/>
      <c r="B21" s="612"/>
      <c r="C21" s="587"/>
      <c r="D21" s="587"/>
      <c r="E21" s="587"/>
      <c r="F21" s="587"/>
      <c r="G21" s="588"/>
      <c r="H21" s="238"/>
      <c r="I21" s="591" t="s">
        <v>682</v>
      </c>
      <c r="J21" s="11"/>
      <c r="K21" s="12"/>
      <c r="L21" s="238"/>
    </row>
    <row r="22">
      <c r="A22" s="578"/>
      <c r="B22" s="589" t="s">
        <v>673</v>
      </c>
      <c r="C22" s="617">
        <v>540000.0</v>
      </c>
      <c r="D22" s="613">
        <v>0.4</v>
      </c>
      <c r="E22" s="614">
        <f>C22*D22</f>
        <v>216000</v>
      </c>
      <c r="F22" s="615">
        <f>C22+E22</f>
        <v>756000</v>
      </c>
      <c r="G22" s="619">
        <f>F22/6</f>
        <v>126000</v>
      </c>
      <c r="H22" s="238"/>
      <c r="I22" s="620" t="s">
        <v>683</v>
      </c>
      <c r="J22" s="11"/>
      <c r="K22" s="12"/>
    </row>
    <row r="23">
      <c r="A23" s="574"/>
      <c r="B23" s="612"/>
      <c r="C23" s="587"/>
      <c r="D23" s="587"/>
      <c r="E23" s="587"/>
      <c r="F23" s="587"/>
      <c r="G23" s="588"/>
      <c r="H23" s="238"/>
      <c r="I23" s="621" t="s">
        <v>684</v>
      </c>
      <c r="J23" s="557"/>
      <c r="K23" s="558"/>
    </row>
    <row r="24">
      <c r="A24" s="578"/>
      <c r="B24" s="579" t="s">
        <v>675</v>
      </c>
      <c r="C24" s="617">
        <v>200300.0</v>
      </c>
      <c r="D24" s="581">
        <v>0.8</v>
      </c>
      <c r="E24" s="590">
        <f>C24*D24</f>
        <v>160240</v>
      </c>
      <c r="F24" s="593">
        <f>C24+E24</f>
        <v>360540</v>
      </c>
      <c r="G24" s="590">
        <f>F24/9</f>
        <v>40060</v>
      </c>
      <c r="H24" s="238"/>
      <c r="I24" s="595"/>
      <c r="K24" s="596"/>
    </row>
    <row r="25">
      <c r="A25" s="574"/>
      <c r="B25" s="622"/>
      <c r="C25" s="587"/>
      <c r="D25" s="587"/>
      <c r="E25" s="587"/>
      <c r="F25" s="587"/>
      <c r="G25" s="588"/>
      <c r="H25" s="238"/>
      <c r="I25" s="595"/>
      <c r="K25" s="596"/>
    </row>
    <row r="26">
      <c r="A26" s="623"/>
      <c r="B26" s="579" t="s">
        <v>676</v>
      </c>
      <c r="C26" s="617">
        <v>540000.0</v>
      </c>
      <c r="D26" s="581">
        <v>0.9</v>
      </c>
      <c r="E26" s="590">
        <f>C26*D26</f>
        <v>486000</v>
      </c>
      <c r="F26" s="593">
        <f>E26+C26</f>
        <v>1026000</v>
      </c>
      <c r="G26" s="590">
        <f>F26/12</f>
        <v>85500</v>
      </c>
      <c r="H26" s="238"/>
      <c r="I26" s="559"/>
      <c r="J26" s="560"/>
      <c r="K26" s="561"/>
    </row>
    <row r="27">
      <c r="A27" s="624"/>
      <c r="B27" s="625"/>
      <c r="C27" s="626"/>
      <c r="D27" s="627"/>
      <c r="E27" s="628"/>
      <c r="F27" s="629"/>
      <c r="G27" s="630"/>
      <c r="H27" s="238"/>
    </row>
    <row r="28">
      <c r="B28" s="631"/>
      <c r="C28" s="632"/>
      <c r="D28" s="633"/>
      <c r="E28" s="633"/>
      <c r="F28" s="633"/>
      <c r="G28" s="634"/>
    </row>
    <row r="29">
      <c r="A29" s="635" t="s">
        <v>685</v>
      </c>
      <c r="B29" s="608"/>
      <c r="C29" s="609" t="s">
        <v>3</v>
      </c>
      <c r="D29" s="609" t="s">
        <v>662</v>
      </c>
      <c r="E29" s="610" t="s">
        <v>663</v>
      </c>
      <c r="F29" s="609" t="s">
        <v>664</v>
      </c>
      <c r="G29" s="636" t="s">
        <v>665</v>
      </c>
    </row>
    <row r="30">
      <c r="A30" s="637"/>
      <c r="B30" s="638"/>
      <c r="C30" s="11"/>
      <c r="D30" s="11"/>
      <c r="E30" s="11"/>
      <c r="F30" s="11"/>
      <c r="G30" s="12"/>
      <c r="I30" s="639" t="s">
        <v>686</v>
      </c>
      <c r="J30" s="11"/>
      <c r="K30" s="12"/>
    </row>
    <row r="31">
      <c r="A31" s="637"/>
      <c r="B31" s="579" t="s">
        <v>667</v>
      </c>
      <c r="C31" s="580">
        <v>35900.0</v>
      </c>
      <c r="D31" s="640">
        <v>0.1</v>
      </c>
      <c r="E31" s="641">
        <f>C31*D31</f>
        <v>3590</v>
      </c>
      <c r="F31" s="642">
        <f>C31+E31</f>
        <v>39490</v>
      </c>
      <c r="G31" s="643">
        <v>0.0</v>
      </c>
      <c r="I31" s="644" t="s">
        <v>687</v>
      </c>
      <c r="J31" s="11"/>
      <c r="K31" s="12"/>
    </row>
    <row r="32">
      <c r="A32" s="637"/>
      <c r="B32" s="645"/>
      <c r="C32" s="11"/>
      <c r="D32" s="11"/>
      <c r="E32" s="11"/>
      <c r="F32" s="11"/>
      <c r="G32" s="12"/>
      <c r="I32" s="644"/>
      <c r="J32" s="11"/>
      <c r="K32" s="12"/>
    </row>
    <row r="33">
      <c r="A33" s="637"/>
      <c r="B33" s="579" t="s">
        <v>688</v>
      </c>
      <c r="C33" s="580">
        <v>814000.0</v>
      </c>
      <c r="D33" s="640">
        <v>0.4</v>
      </c>
      <c r="E33" s="646">
        <f>C33*D33</f>
        <v>325600</v>
      </c>
      <c r="F33" s="642">
        <f>C33+E33</f>
        <v>1139600</v>
      </c>
      <c r="G33" s="646">
        <f>F33/3</f>
        <v>379866.6667</v>
      </c>
      <c r="I33" s="644"/>
      <c r="J33" s="11"/>
      <c r="K33" s="12"/>
    </row>
    <row r="34">
      <c r="A34" s="637"/>
      <c r="B34" s="645"/>
      <c r="C34" s="11"/>
      <c r="D34" s="11"/>
      <c r="E34" s="11"/>
      <c r="F34" s="11"/>
      <c r="G34" s="12"/>
      <c r="I34" s="647"/>
      <c r="J34" s="11"/>
      <c r="K34" s="12"/>
    </row>
    <row r="35">
      <c r="A35" s="637"/>
      <c r="B35" s="579" t="s">
        <v>689</v>
      </c>
      <c r="C35" s="580">
        <v>814000.0</v>
      </c>
      <c r="D35" s="640">
        <v>0.6</v>
      </c>
      <c r="E35" s="646">
        <f>C35*D35</f>
        <v>488400</v>
      </c>
      <c r="F35" s="642">
        <f>C35+E35</f>
        <v>1302400</v>
      </c>
      <c r="G35" s="646">
        <f>F35/6</f>
        <v>217066.6667</v>
      </c>
      <c r="I35" s="594" t="s">
        <v>690</v>
      </c>
      <c r="J35" s="557"/>
      <c r="K35" s="558"/>
    </row>
    <row r="36">
      <c r="A36" s="637"/>
      <c r="B36" s="648"/>
      <c r="C36" s="11"/>
      <c r="D36" s="11"/>
      <c r="E36" s="11"/>
      <c r="F36" s="11"/>
      <c r="G36" s="12"/>
      <c r="I36" s="595"/>
      <c r="K36" s="596"/>
    </row>
    <row r="37">
      <c r="A37" s="637"/>
      <c r="B37" s="579" t="s">
        <v>676</v>
      </c>
      <c r="C37" s="580">
        <v>814000.0</v>
      </c>
      <c r="D37" s="640">
        <v>0.9</v>
      </c>
      <c r="E37" s="646">
        <f>C37*D37</f>
        <v>732600</v>
      </c>
      <c r="F37" s="649">
        <f>C37+E37</f>
        <v>1546600</v>
      </c>
      <c r="G37" s="643">
        <f>F37/12</f>
        <v>128883.3333</v>
      </c>
      <c r="I37" s="595"/>
      <c r="K37" s="596"/>
    </row>
    <row r="38">
      <c r="A38" s="516"/>
      <c r="B38" s="650"/>
      <c r="C38" s="560"/>
      <c r="D38" s="560"/>
      <c r="E38" s="560"/>
      <c r="F38" s="560"/>
      <c r="G38" s="561"/>
      <c r="I38" s="559"/>
      <c r="J38" s="560"/>
      <c r="K38" s="561"/>
    </row>
    <row r="39">
      <c r="B39" s="631"/>
      <c r="C39" s="527"/>
      <c r="D39" s="58" t="s">
        <v>691</v>
      </c>
      <c r="E39" s="484"/>
      <c r="F39" s="651"/>
      <c r="G39" s="567"/>
    </row>
    <row r="40">
      <c r="B40" s="631"/>
      <c r="C40" s="652"/>
      <c r="E40" s="484"/>
      <c r="F40" s="651"/>
      <c r="G40" s="567"/>
    </row>
    <row r="41">
      <c r="B41" s="631"/>
      <c r="C41" s="527"/>
      <c r="E41" s="484"/>
      <c r="F41" s="651"/>
      <c r="G41" s="567"/>
    </row>
    <row r="42">
      <c r="A42" s="653" t="s">
        <v>692</v>
      </c>
      <c r="B42" s="654" t="s">
        <v>693</v>
      </c>
      <c r="C42" s="655" t="s">
        <v>694</v>
      </c>
      <c r="D42" s="656" t="s">
        <v>695</v>
      </c>
      <c r="E42" s="655" t="s">
        <v>696</v>
      </c>
      <c r="F42" s="656" t="s">
        <v>697</v>
      </c>
      <c r="G42" s="655" t="s">
        <v>698</v>
      </c>
      <c r="H42" s="657" t="s">
        <v>699</v>
      </c>
      <c r="I42" s="12"/>
    </row>
    <row r="43">
      <c r="A43" s="658" t="s">
        <v>700</v>
      </c>
      <c r="B43" s="659">
        <v>1420.0</v>
      </c>
      <c r="C43" s="660">
        <v>330.0</v>
      </c>
      <c r="D43" s="661">
        <v>1480.0</v>
      </c>
      <c r="E43" s="662">
        <f t="shared" ref="E43:E44" si="1">SUM(B43-C43)*D43</f>
        <v>1613200</v>
      </c>
      <c r="F43" s="661">
        <v>1213000.0</v>
      </c>
      <c r="G43" s="663">
        <v>0.0</v>
      </c>
      <c r="H43" s="664">
        <f t="shared" ref="H43:H44" si="2">SUM(B43*D43)-(C43*D43)-F43-G43</f>
        <v>400200</v>
      </c>
      <c r="I43" s="12"/>
    </row>
    <row r="44">
      <c r="A44" s="665" t="s">
        <v>701</v>
      </c>
      <c r="B44" s="659">
        <v>0.0</v>
      </c>
      <c r="C44" s="660">
        <v>0.0</v>
      </c>
      <c r="D44" s="661">
        <v>1460.0</v>
      </c>
      <c r="E44" s="662">
        <f t="shared" si="1"/>
        <v>0</v>
      </c>
      <c r="F44" s="661">
        <v>0.0</v>
      </c>
      <c r="G44" s="663">
        <v>0.0</v>
      </c>
      <c r="H44" s="664">
        <f t="shared" si="2"/>
        <v>0</v>
      </c>
      <c r="I44" s="12"/>
    </row>
    <row r="45">
      <c r="B45" s="631"/>
      <c r="C45" s="666"/>
      <c r="D45" s="667"/>
      <c r="E45" s="668"/>
      <c r="F45" s="669"/>
      <c r="G45" s="670"/>
      <c r="H45" s="671"/>
      <c r="I45" s="671"/>
    </row>
    <row r="46">
      <c r="C46" s="672"/>
      <c r="D46" s="667"/>
      <c r="E46" s="668"/>
      <c r="F46" s="669"/>
      <c r="G46" s="670"/>
      <c r="H46" s="671"/>
      <c r="I46" s="671"/>
    </row>
    <row r="47">
      <c r="B47" s="673" t="s">
        <v>702</v>
      </c>
    </row>
    <row r="48">
      <c r="B48" s="631"/>
      <c r="C48" s="672"/>
      <c r="D48" s="667"/>
      <c r="E48" s="674"/>
      <c r="F48" s="669"/>
      <c r="G48" s="670"/>
      <c r="H48" s="671"/>
      <c r="I48" s="671"/>
    </row>
    <row r="49">
      <c r="B49" s="631"/>
      <c r="C49" s="527"/>
      <c r="E49" s="484"/>
      <c r="F49" s="651"/>
      <c r="G49" s="567"/>
    </row>
    <row r="50">
      <c r="B50" s="631"/>
      <c r="C50" s="527"/>
      <c r="E50" s="484"/>
      <c r="F50" s="651"/>
      <c r="G50" s="567"/>
    </row>
    <row r="51">
      <c r="B51" s="631"/>
      <c r="C51" s="527"/>
      <c r="E51" s="484"/>
      <c r="F51" s="651"/>
      <c r="G51" s="567"/>
    </row>
    <row r="52">
      <c r="B52" s="631"/>
      <c r="C52" s="527"/>
      <c r="E52" s="484"/>
      <c r="F52" s="651"/>
      <c r="G52" s="567"/>
    </row>
    <row r="53">
      <c r="B53" s="631"/>
      <c r="C53" s="527"/>
      <c r="E53" s="484"/>
      <c r="F53" s="651"/>
      <c r="G53" s="567"/>
    </row>
    <row r="54">
      <c r="B54" s="631"/>
      <c r="C54" s="527"/>
      <c r="E54" s="484"/>
      <c r="F54" s="651"/>
      <c r="G54" s="567"/>
    </row>
    <row r="55">
      <c r="B55" s="631"/>
      <c r="C55" s="527"/>
      <c r="E55" s="484"/>
      <c r="F55" s="651"/>
      <c r="G55" s="567"/>
    </row>
    <row r="56">
      <c r="B56" s="631"/>
      <c r="C56" s="527"/>
      <c r="E56" s="484"/>
      <c r="F56" s="651"/>
      <c r="G56" s="567"/>
    </row>
    <row r="57">
      <c r="B57" s="631"/>
      <c r="C57" s="527"/>
      <c r="E57" s="484"/>
      <c r="F57" s="651"/>
      <c r="G57" s="567"/>
    </row>
    <row r="58">
      <c r="B58" s="631"/>
      <c r="C58" s="527"/>
      <c r="E58" s="484"/>
      <c r="F58" s="651"/>
      <c r="G58" s="567"/>
    </row>
    <row r="59">
      <c r="B59" s="631"/>
      <c r="C59" s="527"/>
      <c r="E59" s="484"/>
      <c r="F59" s="651"/>
      <c r="G59" s="567"/>
    </row>
    <row r="60">
      <c r="B60" s="631"/>
      <c r="C60" s="527"/>
      <c r="E60" s="484"/>
      <c r="F60" s="651"/>
      <c r="G60" s="567"/>
    </row>
    <row r="61">
      <c r="B61" s="631"/>
      <c r="C61" s="527"/>
      <c r="E61" s="484"/>
      <c r="F61" s="651"/>
      <c r="G61" s="567"/>
    </row>
    <row r="62">
      <c r="B62" s="631"/>
      <c r="C62" s="527"/>
      <c r="E62" s="484"/>
      <c r="F62" s="651"/>
      <c r="G62" s="567"/>
    </row>
    <row r="63">
      <c r="B63" s="631"/>
      <c r="C63" s="527"/>
      <c r="E63" s="484"/>
      <c r="F63" s="651"/>
      <c r="G63" s="567"/>
    </row>
    <row r="64">
      <c r="B64" s="631"/>
      <c r="C64" s="527"/>
      <c r="E64" s="484"/>
      <c r="F64" s="651"/>
      <c r="G64" s="567"/>
    </row>
    <row r="65">
      <c r="B65" s="631"/>
      <c r="C65" s="527"/>
      <c r="E65" s="484"/>
      <c r="F65" s="651"/>
      <c r="G65" s="567"/>
    </row>
    <row r="66">
      <c r="B66" s="631"/>
      <c r="C66" s="527"/>
      <c r="E66" s="484"/>
      <c r="F66" s="651"/>
      <c r="G66" s="567"/>
    </row>
    <row r="67">
      <c r="B67" s="631"/>
      <c r="C67" s="527"/>
      <c r="E67" s="484"/>
      <c r="F67" s="651"/>
      <c r="G67" s="567"/>
    </row>
    <row r="68">
      <c r="B68" s="631"/>
      <c r="C68" s="527"/>
      <c r="E68" s="484"/>
      <c r="F68" s="651"/>
      <c r="G68" s="567"/>
    </row>
    <row r="69">
      <c r="B69" s="631"/>
      <c r="C69" s="527"/>
      <c r="E69" s="484"/>
      <c r="F69" s="651"/>
      <c r="G69" s="567"/>
    </row>
    <row r="70">
      <c r="B70" s="631"/>
      <c r="C70" s="527"/>
      <c r="E70" s="484"/>
      <c r="F70" s="651"/>
      <c r="G70" s="567"/>
    </row>
    <row r="71">
      <c r="B71" s="631"/>
      <c r="C71" s="527"/>
      <c r="E71" s="484"/>
      <c r="F71" s="651"/>
      <c r="G71" s="567"/>
    </row>
    <row r="72">
      <c r="B72" s="631"/>
      <c r="C72" s="527"/>
      <c r="E72" s="484"/>
      <c r="F72" s="651"/>
      <c r="G72" s="567"/>
    </row>
    <row r="73">
      <c r="B73" s="631"/>
      <c r="C73" s="527"/>
      <c r="E73" s="484"/>
      <c r="F73" s="651"/>
      <c r="G73" s="567"/>
    </row>
    <row r="74">
      <c r="B74" s="631"/>
      <c r="C74" s="527"/>
      <c r="E74" s="484"/>
      <c r="F74" s="651"/>
      <c r="G74" s="567"/>
    </row>
    <row r="75">
      <c r="B75" s="631"/>
      <c r="C75" s="527"/>
      <c r="E75" s="484"/>
      <c r="F75" s="651"/>
      <c r="G75" s="567"/>
    </row>
    <row r="76">
      <c r="B76" s="631"/>
      <c r="C76" s="527"/>
      <c r="E76" s="484"/>
      <c r="F76" s="651"/>
      <c r="G76" s="567"/>
    </row>
    <row r="77">
      <c r="B77" s="631"/>
      <c r="C77" s="527"/>
      <c r="E77" s="484"/>
      <c r="F77" s="651"/>
      <c r="G77" s="567"/>
    </row>
    <row r="78">
      <c r="B78" s="631"/>
      <c r="C78" s="527"/>
      <c r="E78" s="484"/>
      <c r="F78" s="651"/>
      <c r="G78" s="567"/>
    </row>
    <row r="79">
      <c r="B79" s="631"/>
      <c r="C79" s="527"/>
      <c r="E79" s="484"/>
      <c r="F79" s="651"/>
      <c r="G79" s="567"/>
    </row>
    <row r="80">
      <c r="B80" s="631"/>
      <c r="C80" s="527"/>
      <c r="E80" s="484"/>
      <c r="F80" s="651"/>
      <c r="G80" s="567"/>
    </row>
    <row r="81">
      <c r="B81" s="631"/>
      <c r="C81" s="527"/>
      <c r="E81" s="484"/>
      <c r="F81" s="651"/>
      <c r="G81" s="567"/>
    </row>
    <row r="82">
      <c r="B82" s="631"/>
      <c r="C82" s="527"/>
      <c r="E82" s="484"/>
      <c r="F82" s="651"/>
      <c r="G82" s="567"/>
    </row>
    <row r="83">
      <c r="B83" s="631"/>
      <c r="C83" s="527"/>
      <c r="E83" s="484"/>
      <c r="F83" s="651"/>
      <c r="G83" s="567"/>
    </row>
    <row r="84">
      <c r="B84" s="631"/>
      <c r="C84" s="527"/>
      <c r="E84" s="484"/>
      <c r="F84" s="651"/>
      <c r="G84" s="567"/>
    </row>
    <row r="85">
      <c r="B85" s="631"/>
      <c r="C85" s="527"/>
      <c r="E85" s="484"/>
      <c r="F85" s="651"/>
      <c r="G85" s="567"/>
    </row>
    <row r="86">
      <c r="B86" s="631"/>
      <c r="C86" s="527"/>
      <c r="E86" s="484"/>
      <c r="F86" s="651"/>
      <c r="G86" s="567"/>
    </row>
    <row r="87">
      <c r="B87" s="631"/>
      <c r="C87" s="527"/>
      <c r="E87" s="484"/>
      <c r="F87" s="651"/>
      <c r="G87" s="567"/>
    </row>
    <row r="88">
      <c r="B88" s="631"/>
      <c r="C88" s="527"/>
      <c r="E88" s="484"/>
      <c r="F88" s="651"/>
      <c r="G88" s="567"/>
    </row>
    <row r="89">
      <c r="B89" s="631"/>
      <c r="C89" s="527"/>
      <c r="E89" s="484"/>
      <c r="F89" s="651"/>
      <c r="G89" s="567"/>
    </row>
    <row r="90">
      <c r="B90" s="631"/>
      <c r="C90" s="527"/>
      <c r="E90" s="484"/>
      <c r="F90" s="651"/>
      <c r="G90" s="567"/>
    </row>
    <row r="91">
      <c r="B91" s="631"/>
      <c r="C91" s="527"/>
      <c r="E91" s="484"/>
      <c r="F91" s="651"/>
      <c r="G91" s="567"/>
    </row>
    <row r="92">
      <c r="B92" s="631"/>
      <c r="C92" s="527"/>
      <c r="E92" s="484"/>
      <c r="F92" s="651"/>
      <c r="G92" s="567"/>
    </row>
    <row r="93">
      <c r="B93" s="631"/>
      <c r="C93" s="527"/>
      <c r="E93" s="484"/>
      <c r="F93" s="651"/>
      <c r="G93" s="567"/>
    </row>
    <row r="94">
      <c r="B94" s="631"/>
      <c r="C94" s="527"/>
      <c r="E94" s="484"/>
      <c r="F94" s="651"/>
      <c r="G94" s="567"/>
    </row>
    <row r="95">
      <c r="B95" s="631"/>
      <c r="C95" s="527"/>
      <c r="E95" s="484"/>
      <c r="F95" s="651"/>
      <c r="G95" s="567"/>
    </row>
    <row r="96">
      <c r="B96" s="631"/>
      <c r="C96" s="527"/>
      <c r="E96" s="484"/>
      <c r="F96" s="651"/>
      <c r="G96" s="567"/>
    </row>
    <row r="97">
      <c r="B97" s="631"/>
      <c r="C97" s="527"/>
      <c r="E97" s="484"/>
      <c r="F97" s="651"/>
      <c r="G97" s="567"/>
    </row>
    <row r="98">
      <c r="B98" s="631"/>
      <c r="C98" s="527"/>
      <c r="E98" s="484"/>
      <c r="F98" s="651"/>
      <c r="G98" s="567"/>
    </row>
    <row r="99">
      <c r="B99" s="631"/>
      <c r="C99" s="527"/>
      <c r="E99" s="484"/>
      <c r="F99" s="651"/>
      <c r="G99" s="567"/>
    </row>
    <row r="100">
      <c r="B100" s="631"/>
      <c r="C100" s="527"/>
      <c r="E100" s="484"/>
      <c r="F100" s="651"/>
      <c r="G100" s="567"/>
    </row>
    <row r="101">
      <c r="B101" s="631"/>
      <c r="C101" s="527"/>
      <c r="E101" s="484"/>
      <c r="F101" s="651"/>
      <c r="G101" s="567"/>
    </row>
    <row r="102">
      <c r="B102" s="631"/>
      <c r="C102" s="527"/>
      <c r="E102" s="484"/>
      <c r="F102" s="651"/>
      <c r="G102" s="567"/>
    </row>
    <row r="103">
      <c r="B103" s="631"/>
      <c r="C103" s="527"/>
      <c r="E103" s="484"/>
      <c r="F103" s="651"/>
      <c r="G103" s="567"/>
    </row>
    <row r="104">
      <c r="B104" s="631"/>
      <c r="C104" s="527"/>
      <c r="E104" s="484"/>
      <c r="F104" s="651"/>
      <c r="G104" s="567"/>
    </row>
    <row r="105">
      <c r="B105" s="631"/>
      <c r="C105" s="527"/>
      <c r="E105" s="484"/>
      <c r="F105" s="651"/>
      <c r="G105" s="567"/>
    </row>
    <row r="106">
      <c r="B106" s="631"/>
      <c r="C106" s="527"/>
      <c r="E106" s="484"/>
      <c r="F106" s="651"/>
      <c r="G106" s="567"/>
    </row>
    <row r="107">
      <c r="B107" s="631"/>
      <c r="C107" s="527"/>
      <c r="E107" s="484"/>
      <c r="F107" s="651"/>
      <c r="G107" s="567"/>
    </row>
    <row r="108">
      <c r="B108" s="631"/>
      <c r="C108" s="527"/>
      <c r="E108" s="484"/>
      <c r="F108" s="651"/>
      <c r="G108" s="567"/>
    </row>
    <row r="109">
      <c r="B109" s="631"/>
      <c r="C109" s="527"/>
      <c r="E109" s="484"/>
      <c r="F109" s="651"/>
      <c r="G109" s="567"/>
    </row>
    <row r="110">
      <c r="B110" s="631"/>
      <c r="C110" s="527"/>
      <c r="E110" s="484"/>
      <c r="F110" s="651"/>
      <c r="G110" s="567"/>
    </row>
    <row r="111">
      <c r="B111" s="631"/>
      <c r="C111" s="527"/>
      <c r="E111" s="484"/>
      <c r="F111" s="651"/>
      <c r="G111" s="567"/>
    </row>
    <row r="112">
      <c r="B112" s="631"/>
      <c r="C112" s="527"/>
      <c r="E112" s="484"/>
      <c r="F112" s="651"/>
      <c r="G112" s="567"/>
    </row>
    <row r="113">
      <c r="B113" s="631"/>
      <c r="C113" s="527"/>
      <c r="E113" s="484"/>
      <c r="F113" s="651"/>
      <c r="G113" s="567"/>
    </row>
    <row r="114">
      <c r="B114" s="631"/>
      <c r="C114" s="527"/>
      <c r="E114" s="484"/>
      <c r="F114" s="651"/>
      <c r="G114" s="567"/>
    </row>
    <row r="115">
      <c r="B115" s="631"/>
      <c r="C115" s="527"/>
      <c r="E115" s="484"/>
      <c r="F115" s="651"/>
      <c r="G115" s="567"/>
    </row>
    <row r="116">
      <c r="B116" s="631"/>
      <c r="C116" s="527"/>
      <c r="E116" s="484"/>
      <c r="F116" s="651"/>
      <c r="G116" s="567"/>
    </row>
    <row r="117">
      <c r="B117" s="631"/>
      <c r="C117" s="527"/>
      <c r="E117" s="484"/>
      <c r="F117" s="651"/>
      <c r="G117" s="567"/>
    </row>
    <row r="118">
      <c r="B118" s="631"/>
      <c r="C118" s="527"/>
      <c r="E118" s="484"/>
      <c r="F118" s="651"/>
      <c r="G118" s="567"/>
    </row>
    <row r="119">
      <c r="B119" s="631"/>
      <c r="C119" s="527"/>
      <c r="E119" s="484"/>
      <c r="F119" s="651"/>
      <c r="G119" s="567"/>
    </row>
    <row r="120">
      <c r="B120" s="631"/>
      <c r="C120" s="527"/>
      <c r="E120" s="484"/>
      <c r="F120" s="651"/>
      <c r="G120" s="567"/>
    </row>
    <row r="121">
      <c r="B121" s="631"/>
      <c r="C121" s="527"/>
      <c r="E121" s="484"/>
      <c r="F121" s="651"/>
      <c r="G121" s="567"/>
    </row>
    <row r="122">
      <c r="B122" s="631"/>
      <c r="C122" s="527"/>
      <c r="E122" s="484"/>
      <c r="F122" s="651"/>
      <c r="G122" s="567"/>
    </row>
    <row r="123">
      <c r="B123" s="631"/>
      <c r="C123" s="527"/>
      <c r="E123" s="484"/>
      <c r="F123" s="651"/>
      <c r="G123" s="567"/>
    </row>
    <row r="124">
      <c r="B124" s="631"/>
      <c r="C124" s="527"/>
      <c r="E124" s="484"/>
      <c r="F124" s="651"/>
      <c r="G124" s="567"/>
    </row>
    <row r="125">
      <c r="B125" s="631"/>
      <c r="C125" s="527"/>
      <c r="E125" s="484"/>
      <c r="F125" s="651"/>
      <c r="G125" s="567"/>
    </row>
    <row r="126">
      <c r="B126" s="631"/>
      <c r="C126" s="527"/>
      <c r="E126" s="484"/>
      <c r="F126" s="651"/>
      <c r="G126" s="567"/>
    </row>
    <row r="127">
      <c r="B127" s="631"/>
      <c r="C127" s="527"/>
      <c r="E127" s="484"/>
      <c r="F127" s="651"/>
      <c r="G127" s="567"/>
    </row>
    <row r="128">
      <c r="B128" s="631"/>
      <c r="C128" s="527"/>
      <c r="E128" s="484"/>
      <c r="F128" s="651"/>
      <c r="G128" s="567"/>
    </row>
    <row r="129">
      <c r="B129" s="631"/>
      <c r="C129" s="527"/>
      <c r="E129" s="484"/>
      <c r="F129" s="651"/>
      <c r="G129" s="567"/>
    </row>
    <row r="130">
      <c r="B130" s="631"/>
      <c r="C130" s="527"/>
      <c r="E130" s="484"/>
      <c r="F130" s="651"/>
      <c r="G130" s="567"/>
    </row>
    <row r="131">
      <c r="B131" s="631"/>
      <c r="C131" s="527"/>
      <c r="E131" s="484"/>
      <c r="F131" s="651"/>
      <c r="G131" s="567"/>
    </row>
    <row r="132">
      <c r="B132" s="631"/>
      <c r="C132" s="527"/>
      <c r="E132" s="484"/>
      <c r="F132" s="651"/>
      <c r="G132" s="567"/>
    </row>
    <row r="133">
      <c r="B133" s="631"/>
      <c r="C133" s="527"/>
      <c r="E133" s="484"/>
      <c r="F133" s="651"/>
      <c r="G133" s="567"/>
    </row>
    <row r="134">
      <c r="B134" s="631"/>
      <c r="C134" s="527"/>
      <c r="E134" s="484"/>
      <c r="F134" s="651"/>
      <c r="G134" s="567"/>
    </row>
    <row r="135">
      <c r="B135" s="631"/>
      <c r="C135" s="527"/>
      <c r="E135" s="484"/>
      <c r="F135" s="651"/>
      <c r="G135" s="567"/>
    </row>
    <row r="136">
      <c r="B136" s="631"/>
      <c r="C136" s="527"/>
      <c r="E136" s="484"/>
      <c r="F136" s="651"/>
      <c r="G136" s="567"/>
    </row>
    <row r="137">
      <c r="B137" s="631"/>
      <c r="C137" s="527"/>
      <c r="E137" s="484"/>
      <c r="F137" s="651"/>
      <c r="G137" s="567"/>
    </row>
    <row r="138">
      <c r="B138" s="631"/>
      <c r="C138" s="527"/>
      <c r="E138" s="484"/>
      <c r="F138" s="651"/>
      <c r="G138" s="567"/>
    </row>
    <row r="139">
      <c r="B139" s="631"/>
      <c r="C139" s="527"/>
      <c r="E139" s="484"/>
      <c r="F139" s="651"/>
      <c r="G139" s="567"/>
    </row>
    <row r="140">
      <c r="B140" s="631"/>
      <c r="C140" s="527"/>
      <c r="E140" s="484"/>
      <c r="F140" s="651"/>
      <c r="G140" s="567"/>
    </row>
    <row r="141">
      <c r="B141" s="631"/>
      <c r="C141" s="527"/>
      <c r="E141" s="484"/>
      <c r="F141" s="651"/>
      <c r="G141" s="567"/>
    </row>
    <row r="142">
      <c r="B142" s="631"/>
      <c r="C142" s="527"/>
      <c r="E142" s="484"/>
      <c r="F142" s="651"/>
      <c r="G142" s="567"/>
    </row>
    <row r="143">
      <c r="B143" s="631"/>
      <c r="C143" s="527"/>
      <c r="E143" s="484"/>
      <c r="F143" s="651"/>
      <c r="G143" s="567"/>
    </row>
    <row r="144">
      <c r="B144" s="631"/>
      <c r="C144" s="527"/>
      <c r="E144" s="484"/>
      <c r="F144" s="651"/>
      <c r="G144" s="567"/>
    </row>
    <row r="145">
      <c r="B145" s="631"/>
      <c r="C145" s="527"/>
      <c r="E145" s="484"/>
      <c r="F145" s="651"/>
      <c r="G145" s="567"/>
    </row>
    <row r="146">
      <c r="B146" s="631"/>
      <c r="C146" s="527"/>
      <c r="E146" s="484"/>
      <c r="F146" s="651"/>
      <c r="G146" s="567"/>
    </row>
    <row r="147">
      <c r="B147" s="631"/>
      <c r="C147" s="527"/>
      <c r="E147" s="484"/>
      <c r="F147" s="651"/>
      <c r="G147" s="567"/>
    </row>
    <row r="148">
      <c r="B148" s="631"/>
      <c r="C148" s="527"/>
      <c r="E148" s="484"/>
      <c r="F148" s="651"/>
      <c r="G148" s="567"/>
    </row>
    <row r="149">
      <c r="B149" s="631"/>
      <c r="C149" s="527"/>
      <c r="E149" s="484"/>
      <c r="F149" s="651"/>
      <c r="G149" s="567"/>
    </row>
    <row r="150">
      <c r="B150" s="631"/>
      <c r="C150" s="527"/>
      <c r="E150" s="484"/>
      <c r="F150" s="651"/>
      <c r="G150" s="567"/>
    </row>
    <row r="151">
      <c r="B151" s="631"/>
      <c r="C151" s="527"/>
      <c r="E151" s="484"/>
      <c r="F151" s="651"/>
      <c r="G151" s="567"/>
    </row>
    <row r="152">
      <c r="B152" s="631"/>
      <c r="C152" s="527"/>
      <c r="E152" s="484"/>
      <c r="F152" s="651"/>
      <c r="G152" s="567"/>
    </row>
    <row r="153">
      <c r="B153" s="631"/>
      <c r="C153" s="527"/>
      <c r="E153" s="484"/>
      <c r="F153" s="651"/>
      <c r="G153" s="567"/>
    </row>
    <row r="154">
      <c r="B154" s="631"/>
      <c r="C154" s="527"/>
      <c r="E154" s="484"/>
      <c r="F154" s="651"/>
      <c r="G154" s="567"/>
    </row>
    <row r="155">
      <c r="B155" s="631"/>
      <c r="C155" s="527"/>
      <c r="E155" s="484"/>
      <c r="F155" s="651"/>
      <c r="G155" s="567"/>
    </row>
    <row r="156">
      <c r="B156" s="631"/>
      <c r="C156" s="527"/>
      <c r="E156" s="484"/>
      <c r="F156" s="651"/>
      <c r="G156" s="567"/>
    </row>
    <row r="157">
      <c r="B157" s="631"/>
      <c r="C157" s="527"/>
      <c r="E157" s="484"/>
      <c r="F157" s="651"/>
      <c r="G157" s="567"/>
    </row>
    <row r="158">
      <c r="B158" s="631"/>
      <c r="C158" s="527"/>
      <c r="E158" s="484"/>
      <c r="F158" s="651"/>
      <c r="G158" s="567"/>
    </row>
    <row r="159">
      <c r="B159" s="631"/>
      <c r="C159" s="527"/>
      <c r="E159" s="484"/>
      <c r="F159" s="651"/>
      <c r="G159" s="567"/>
    </row>
    <row r="160">
      <c r="B160" s="631"/>
      <c r="C160" s="527"/>
      <c r="E160" s="484"/>
      <c r="F160" s="651"/>
      <c r="G160" s="567"/>
    </row>
    <row r="161">
      <c r="B161" s="631"/>
      <c r="C161" s="527"/>
      <c r="E161" s="484"/>
      <c r="F161" s="651"/>
      <c r="G161" s="567"/>
    </row>
    <row r="162">
      <c r="B162" s="631"/>
      <c r="C162" s="527"/>
      <c r="E162" s="484"/>
      <c r="F162" s="651"/>
      <c r="G162" s="567"/>
    </row>
    <row r="163">
      <c r="B163" s="631"/>
      <c r="C163" s="527"/>
      <c r="E163" s="484"/>
      <c r="F163" s="651"/>
      <c r="G163" s="567"/>
    </row>
    <row r="164">
      <c r="B164" s="631"/>
      <c r="C164" s="527"/>
      <c r="E164" s="484"/>
      <c r="F164" s="651"/>
      <c r="G164" s="567"/>
    </row>
    <row r="165">
      <c r="B165" s="631"/>
      <c r="C165" s="527"/>
      <c r="E165" s="484"/>
      <c r="F165" s="651"/>
      <c r="G165" s="567"/>
    </row>
    <row r="166">
      <c r="B166" s="631"/>
      <c r="C166" s="527"/>
      <c r="E166" s="484"/>
      <c r="F166" s="651"/>
      <c r="G166" s="567"/>
    </row>
    <row r="167">
      <c r="B167" s="631"/>
      <c r="C167" s="527"/>
      <c r="E167" s="484"/>
      <c r="F167" s="651"/>
      <c r="G167" s="567"/>
    </row>
    <row r="168">
      <c r="B168" s="631"/>
      <c r="C168" s="527"/>
      <c r="E168" s="484"/>
      <c r="F168" s="651"/>
      <c r="G168" s="567"/>
    </row>
    <row r="169">
      <c r="B169" s="631"/>
      <c r="C169" s="527"/>
      <c r="E169" s="484"/>
      <c r="F169" s="651"/>
      <c r="G169" s="567"/>
    </row>
    <row r="170">
      <c r="B170" s="631"/>
      <c r="C170" s="527"/>
      <c r="E170" s="484"/>
      <c r="F170" s="651"/>
      <c r="G170" s="567"/>
    </row>
    <row r="171">
      <c r="B171" s="631"/>
      <c r="C171" s="527"/>
      <c r="E171" s="484"/>
      <c r="F171" s="651"/>
      <c r="G171" s="567"/>
    </row>
    <row r="172">
      <c r="B172" s="631"/>
      <c r="C172" s="527"/>
      <c r="E172" s="484"/>
      <c r="F172" s="651"/>
      <c r="G172" s="567"/>
    </row>
    <row r="173">
      <c r="B173" s="631"/>
      <c r="C173" s="527"/>
      <c r="E173" s="484"/>
      <c r="F173" s="651"/>
      <c r="G173" s="567"/>
    </row>
    <row r="174">
      <c r="B174" s="631"/>
      <c r="C174" s="527"/>
      <c r="E174" s="484"/>
      <c r="F174" s="651"/>
      <c r="G174" s="567"/>
    </row>
    <row r="175">
      <c r="B175" s="631"/>
      <c r="C175" s="527"/>
      <c r="E175" s="484"/>
      <c r="F175" s="651"/>
      <c r="G175" s="567"/>
    </row>
    <row r="176">
      <c r="B176" s="631"/>
      <c r="C176" s="527"/>
      <c r="E176" s="484"/>
      <c r="F176" s="651"/>
      <c r="G176" s="567"/>
    </row>
    <row r="177">
      <c r="B177" s="631"/>
      <c r="C177" s="527"/>
      <c r="E177" s="484"/>
      <c r="F177" s="651"/>
      <c r="G177" s="567"/>
    </row>
    <row r="178">
      <c r="B178" s="631"/>
      <c r="C178" s="527"/>
      <c r="E178" s="484"/>
      <c r="F178" s="651"/>
      <c r="G178" s="567"/>
    </row>
    <row r="179">
      <c r="B179" s="631"/>
      <c r="C179" s="527"/>
      <c r="E179" s="484"/>
      <c r="F179" s="651"/>
      <c r="G179" s="567"/>
    </row>
    <row r="180">
      <c r="B180" s="631"/>
      <c r="C180" s="527"/>
      <c r="E180" s="484"/>
      <c r="F180" s="651"/>
      <c r="G180" s="567"/>
    </row>
    <row r="181">
      <c r="B181" s="631"/>
      <c r="C181" s="527"/>
      <c r="E181" s="484"/>
      <c r="F181" s="651"/>
      <c r="G181" s="567"/>
    </row>
    <row r="182">
      <c r="B182" s="631"/>
      <c r="C182" s="527"/>
      <c r="E182" s="484"/>
      <c r="F182" s="651"/>
      <c r="G182" s="567"/>
    </row>
    <row r="183">
      <c r="B183" s="631"/>
      <c r="C183" s="527"/>
      <c r="E183" s="484"/>
      <c r="F183" s="651"/>
      <c r="G183" s="567"/>
    </row>
    <row r="184">
      <c r="B184" s="631"/>
      <c r="C184" s="527"/>
      <c r="E184" s="484"/>
      <c r="F184" s="651"/>
      <c r="G184" s="567"/>
    </row>
    <row r="185">
      <c r="B185" s="631"/>
      <c r="C185" s="527"/>
      <c r="E185" s="484"/>
      <c r="F185" s="651"/>
      <c r="G185" s="567"/>
    </row>
    <row r="186">
      <c r="B186" s="631"/>
      <c r="C186" s="527"/>
      <c r="E186" s="484"/>
      <c r="F186" s="651"/>
      <c r="G186" s="567"/>
    </row>
    <row r="187">
      <c r="B187" s="631"/>
      <c r="C187" s="527"/>
      <c r="E187" s="484"/>
      <c r="F187" s="651"/>
      <c r="G187" s="567"/>
    </row>
    <row r="188">
      <c r="B188" s="631"/>
      <c r="C188" s="527"/>
      <c r="E188" s="484"/>
      <c r="F188" s="651"/>
      <c r="G188" s="567"/>
    </row>
    <row r="189">
      <c r="B189" s="631"/>
      <c r="C189" s="527"/>
      <c r="E189" s="484"/>
      <c r="F189" s="651"/>
      <c r="G189" s="567"/>
    </row>
    <row r="190">
      <c r="B190" s="631"/>
      <c r="C190" s="527"/>
      <c r="E190" s="484"/>
      <c r="F190" s="651"/>
      <c r="G190" s="567"/>
    </row>
    <row r="191">
      <c r="B191" s="631"/>
      <c r="C191" s="527"/>
      <c r="E191" s="484"/>
      <c r="F191" s="651"/>
      <c r="G191" s="567"/>
    </row>
    <row r="192">
      <c r="B192" s="631"/>
      <c r="C192" s="527"/>
      <c r="E192" s="484"/>
      <c r="F192" s="651"/>
      <c r="G192" s="567"/>
    </row>
    <row r="193">
      <c r="B193" s="631"/>
      <c r="C193" s="527"/>
      <c r="E193" s="484"/>
      <c r="F193" s="651"/>
      <c r="G193" s="567"/>
    </row>
    <row r="194">
      <c r="B194" s="631"/>
      <c r="C194" s="527"/>
      <c r="E194" s="484"/>
      <c r="F194" s="651"/>
      <c r="G194" s="567"/>
    </row>
    <row r="195">
      <c r="B195" s="631"/>
      <c r="C195" s="527"/>
      <c r="E195" s="484"/>
      <c r="F195" s="651"/>
      <c r="G195" s="567"/>
    </row>
    <row r="196">
      <c r="B196" s="631"/>
      <c r="C196" s="527"/>
      <c r="E196" s="484"/>
      <c r="F196" s="651"/>
      <c r="G196" s="567"/>
    </row>
    <row r="197">
      <c r="B197" s="631"/>
      <c r="C197" s="527"/>
      <c r="E197" s="484"/>
      <c r="F197" s="651"/>
      <c r="G197" s="567"/>
    </row>
    <row r="198">
      <c r="B198" s="631"/>
      <c r="C198" s="527"/>
      <c r="E198" s="484"/>
      <c r="F198" s="651"/>
      <c r="G198" s="567"/>
    </row>
    <row r="199">
      <c r="B199" s="631"/>
      <c r="C199" s="527"/>
      <c r="E199" s="484"/>
      <c r="F199" s="651"/>
      <c r="G199" s="567"/>
    </row>
    <row r="200">
      <c r="B200" s="631"/>
      <c r="C200" s="527"/>
      <c r="E200" s="484"/>
      <c r="F200" s="651"/>
      <c r="G200" s="567"/>
    </row>
    <row r="201">
      <c r="B201" s="631"/>
      <c r="C201" s="527"/>
      <c r="E201" s="484"/>
      <c r="F201" s="651"/>
      <c r="G201" s="567"/>
    </row>
    <row r="202">
      <c r="B202" s="631"/>
      <c r="C202" s="527"/>
      <c r="E202" s="484"/>
      <c r="F202" s="651"/>
      <c r="G202" s="567"/>
    </row>
    <row r="203">
      <c r="B203" s="631"/>
      <c r="C203" s="527"/>
      <c r="E203" s="484"/>
      <c r="F203" s="651"/>
      <c r="G203" s="567"/>
    </row>
    <row r="204">
      <c r="B204" s="631"/>
      <c r="C204" s="527"/>
      <c r="E204" s="484"/>
      <c r="F204" s="651"/>
      <c r="G204" s="567"/>
    </row>
    <row r="205">
      <c r="B205" s="631"/>
      <c r="C205" s="527"/>
      <c r="E205" s="484"/>
      <c r="F205" s="651"/>
      <c r="G205" s="567"/>
    </row>
    <row r="206">
      <c r="B206" s="631"/>
      <c r="C206" s="527"/>
      <c r="E206" s="484"/>
      <c r="F206" s="651"/>
      <c r="G206" s="567"/>
    </row>
    <row r="207">
      <c r="B207" s="631"/>
      <c r="C207" s="527"/>
      <c r="E207" s="484"/>
      <c r="F207" s="651"/>
      <c r="G207" s="567"/>
    </row>
    <row r="208">
      <c r="B208" s="631"/>
      <c r="C208" s="527"/>
      <c r="E208" s="484"/>
      <c r="F208" s="651"/>
      <c r="G208" s="567"/>
    </row>
    <row r="209">
      <c r="B209" s="631"/>
      <c r="C209" s="527"/>
      <c r="E209" s="484"/>
      <c r="F209" s="651"/>
      <c r="G209" s="567"/>
    </row>
    <row r="210">
      <c r="B210" s="631"/>
      <c r="C210" s="527"/>
      <c r="E210" s="484"/>
      <c r="F210" s="651"/>
      <c r="G210" s="567"/>
    </row>
    <row r="211">
      <c r="B211" s="631"/>
      <c r="C211" s="527"/>
      <c r="E211" s="484"/>
      <c r="F211" s="651"/>
      <c r="G211" s="567"/>
    </row>
    <row r="212">
      <c r="B212" s="631"/>
      <c r="C212" s="527"/>
      <c r="E212" s="484"/>
      <c r="F212" s="651"/>
      <c r="G212" s="567"/>
    </row>
    <row r="213">
      <c r="B213" s="631"/>
      <c r="C213" s="527"/>
      <c r="E213" s="484"/>
      <c r="F213" s="651"/>
      <c r="G213" s="567"/>
    </row>
    <row r="214">
      <c r="B214" s="631"/>
      <c r="C214" s="527"/>
      <c r="E214" s="484"/>
      <c r="F214" s="651"/>
      <c r="G214" s="567"/>
    </row>
    <row r="215">
      <c r="B215" s="631"/>
      <c r="C215" s="527"/>
      <c r="E215" s="484"/>
      <c r="F215" s="651"/>
      <c r="G215" s="567"/>
    </row>
    <row r="216">
      <c r="B216" s="631"/>
      <c r="C216" s="527"/>
      <c r="E216" s="484"/>
      <c r="F216" s="651"/>
      <c r="G216" s="567"/>
    </row>
    <row r="217">
      <c r="B217" s="631"/>
      <c r="C217" s="527"/>
      <c r="E217" s="484"/>
      <c r="F217" s="651"/>
      <c r="G217" s="567"/>
    </row>
    <row r="218">
      <c r="B218" s="631"/>
      <c r="C218" s="527"/>
      <c r="E218" s="484"/>
      <c r="F218" s="651"/>
      <c r="G218" s="567"/>
    </row>
    <row r="219">
      <c r="B219" s="631"/>
      <c r="C219" s="527"/>
      <c r="E219" s="484"/>
      <c r="F219" s="651"/>
      <c r="G219" s="567"/>
    </row>
    <row r="220">
      <c r="B220" s="631"/>
      <c r="C220" s="527"/>
      <c r="E220" s="484"/>
      <c r="F220" s="651"/>
      <c r="G220" s="567"/>
    </row>
    <row r="221">
      <c r="B221" s="631"/>
      <c r="C221" s="527"/>
      <c r="E221" s="484"/>
      <c r="F221" s="651"/>
      <c r="G221" s="567"/>
    </row>
    <row r="222">
      <c r="B222" s="631"/>
      <c r="C222" s="527"/>
      <c r="E222" s="484"/>
      <c r="F222" s="651"/>
      <c r="G222" s="567"/>
    </row>
    <row r="223">
      <c r="B223" s="631"/>
      <c r="C223" s="527"/>
      <c r="E223" s="484"/>
      <c r="F223" s="651"/>
      <c r="G223" s="567"/>
    </row>
    <row r="224">
      <c r="B224" s="631"/>
      <c r="C224" s="527"/>
      <c r="E224" s="484"/>
      <c r="F224" s="651"/>
      <c r="G224" s="567"/>
    </row>
    <row r="225">
      <c r="B225" s="631"/>
      <c r="C225" s="527"/>
      <c r="E225" s="484"/>
      <c r="F225" s="651"/>
      <c r="G225" s="567"/>
    </row>
    <row r="226">
      <c r="B226" s="631"/>
      <c r="C226" s="527"/>
      <c r="E226" s="484"/>
      <c r="F226" s="651"/>
      <c r="G226" s="567"/>
    </row>
    <row r="227">
      <c r="B227" s="631"/>
      <c r="C227" s="527"/>
      <c r="E227" s="484"/>
      <c r="F227" s="651"/>
      <c r="G227" s="567"/>
    </row>
    <row r="228">
      <c r="B228" s="631"/>
      <c r="C228" s="527"/>
      <c r="E228" s="484"/>
      <c r="F228" s="651"/>
      <c r="G228" s="567"/>
    </row>
    <row r="229">
      <c r="B229" s="631"/>
      <c r="C229" s="527"/>
      <c r="E229" s="484"/>
      <c r="F229" s="651"/>
      <c r="G229" s="567"/>
    </row>
    <row r="230">
      <c r="B230" s="631"/>
      <c r="C230" s="527"/>
      <c r="E230" s="484"/>
      <c r="F230" s="651"/>
      <c r="G230" s="567"/>
    </row>
    <row r="231">
      <c r="B231" s="631"/>
      <c r="C231" s="527"/>
      <c r="E231" s="484"/>
      <c r="F231" s="651"/>
      <c r="G231" s="567"/>
    </row>
    <row r="232">
      <c r="B232" s="631"/>
      <c r="C232" s="527"/>
      <c r="E232" s="484"/>
      <c r="F232" s="651"/>
      <c r="G232" s="567"/>
    </row>
    <row r="233">
      <c r="B233" s="631"/>
      <c r="C233" s="527"/>
      <c r="E233" s="484"/>
      <c r="F233" s="651"/>
      <c r="G233" s="567"/>
    </row>
    <row r="234">
      <c r="B234" s="631"/>
      <c r="C234" s="527"/>
      <c r="E234" s="484"/>
      <c r="F234" s="651"/>
      <c r="G234" s="567"/>
    </row>
    <row r="235">
      <c r="B235" s="631"/>
      <c r="C235" s="527"/>
      <c r="E235" s="484"/>
      <c r="F235" s="651"/>
      <c r="G235" s="567"/>
    </row>
    <row r="236">
      <c r="B236" s="631"/>
      <c r="C236" s="527"/>
      <c r="E236" s="484"/>
      <c r="F236" s="651"/>
      <c r="G236" s="567"/>
    </row>
    <row r="237">
      <c r="B237" s="631"/>
      <c r="C237" s="527"/>
      <c r="E237" s="484"/>
      <c r="F237" s="651"/>
      <c r="G237" s="567"/>
    </row>
    <row r="238">
      <c r="B238" s="631"/>
      <c r="C238" s="527"/>
      <c r="E238" s="484"/>
      <c r="F238" s="651"/>
      <c r="G238" s="567"/>
    </row>
    <row r="239">
      <c r="B239" s="631"/>
      <c r="C239" s="527"/>
      <c r="E239" s="484"/>
      <c r="F239" s="651"/>
      <c r="G239" s="567"/>
    </row>
    <row r="240">
      <c r="B240" s="631"/>
      <c r="C240" s="527"/>
      <c r="E240" s="484"/>
      <c r="F240" s="651"/>
      <c r="G240" s="567"/>
    </row>
    <row r="241">
      <c r="B241" s="631"/>
      <c r="C241" s="527"/>
      <c r="E241" s="484"/>
      <c r="F241" s="651"/>
      <c r="G241" s="567"/>
    </row>
    <row r="242">
      <c r="B242" s="631"/>
      <c r="C242" s="527"/>
      <c r="E242" s="484"/>
      <c r="F242" s="651"/>
      <c r="G242" s="567"/>
    </row>
    <row r="243">
      <c r="B243" s="631"/>
      <c r="C243" s="527"/>
      <c r="E243" s="484"/>
      <c r="F243" s="651"/>
      <c r="G243" s="567"/>
    </row>
    <row r="244">
      <c r="B244" s="631"/>
      <c r="C244" s="527"/>
      <c r="E244" s="484"/>
      <c r="F244" s="651"/>
      <c r="G244" s="567"/>
    </row>
    <row r="245">
      <c r="B245" s="631"/>
      <c r="C245" s="527"/>
      <c r="E245" s="484"/>
      <c r="F245" s="651"/>
      <c r="G245" s="567"/>
    </row>
    <row r="246">
      <c r="B246" s="631"/>
      <c r="C246" s="527"/>
      <c r="E246" s="484"/>
      <c r="F246" s="651"/>
      <c r="G246" s="567"/>
    </row>
    <row r="247">
      <c r="B247" s="631"/>
      <c r="C247" s="527"/>
      <c r="E247" s="484"/>
      <c r="F247" s="651"/>
      <c r="G247" s="567"/>
    </row>
    <row r="248">
      <c r="B248" s="631"/>
      <c r="C248" s="527"/>
      <c r="E248" s="484"/>
      <c r="F248" s="651"/>
      <c r="G248" s="567"/>
    </row>
    <row r="249">
      <c r="B249" s="631"/>
      <c r="C249" s="527"/>
      <c r="E249" s="484"/>
      <c r="F249" s="651"/>
      <c r="G249" s="567"/>
    </row>
    <row r="250">
      <c r="B250" s="631"/>
      <c r="C250" s="527"/>
      <c r="E250" s="484"/>
      <c r="F250" s="651"/>
      <c r="G250" s="567"/>
    </row>
    <row r="251">
      <c r="B251" s="631"/>
      <c r="C251" s="527"/>
      <c r="E251" s="484"/>
      <c r="F251" s="651"/>
      <c r="G251" s="567"/>
    </row>
    <row r="252">
      <c r="B252" s="631"/>
      <c r="C252" s="527"/>
      <c r="E252" s="484"/>
      <c r="F252" s="651"/>
      <c r="G252" s="567"/>
    </row>
    <row r="253">
      <c r="B253" s="631"/>
      <c r="C253" s="527"/>
      <c r="E253" s="484"/>
      <c r="F253" s="651"/>
      <c r="G253" s="567"/>
    </row>
    <row r="254">
      <c r="B254" s="631"/>
      <c r="C254" s="527"/>
      <c r="E254" s="484"/>
      <c r="F254" s="651"/>
      <c r="G254" s="567"/>
    </row>
    <row r="255">
      <c r="B255" s="631"/>
      <c r="C255" s="527"/>
      <c r="E255" s="484"/>
      <c r="F255" s="651"/>
      <c r="G255" s="567"/>
    </row>
    <row r="256">
      <c r="B256" s="631"/>
      <c r="C256" s="527"/>
      <c r="E256" s="484"/>
      <c r="F256" s="651"/>
      <c r="G256" s="567"/>
    </row>
    <row r="257">
      <c r="B257" s="631"/>
      <c r="C257" s="527"/>
      <c r="E257" s="484"/>
      <c r="F257" s="651"/>
      <c r="G257" s="567"/>
    </row>
    <row r="258">
      <c r="B258" s="631"/>
      <c r="C258" s="527"/>
      <c r="E258" s="484"/>
      <c r="F258" s="651"/>
      <c r="G258" s="567"/>
    </row>
    <row r="259">
      <c r="B259" s="631"/>
      <c r="C259" s="527"/>
      <c r="E259" s="484"/>
      <c r="F259" s="651"/>
      <c r="G259" s="567"/>
    </row>
    <row r="260">
      <c r="B260" s="631"/>
      <c r="C260" s="527"/>
      <c r="E260" s="484"/>
      <c r="F260" s="651"/>
      <c r="G260" s="567"/>
    </row>
    <row r="261">
      <c r="B261" s="631"/>
      <c r="C261" s="527"/>
      <c r="E261" s="484"/>
      <c r="F261" s="651"/>
      <c r="G261" s="567"/>
    </row>
    <row r="262">
      <c r="B262" s="631"/>
      <c r="C262" s="527"/>
      <c r="E262" s="484"/>
      <c r="F262" s="651"/>
      <c r="G262" s="567"/>
    </row>
    <row r="263">
      <c r="B263" s="631"/>
      <c r="C263" s="527"/>
      <c r="E263" s="484"/>
      <c r="F263" s="651"/>
      <c r="G263" s="567"/>
    </row>
    <row r="264">
      <c r="B264" s="631"/>
      <c r="C264" s="527"/>
      <c r="E264" s="484"/>
      <c r="F264" s="651"/>
      <c r="G264" s="567"/>
    </row>
    <row r="265">
      <c r="B265" s="631"/>
      <c r="C265" s="527"/>
      <c r="E265" s="484"/>
      <c r="F265" s="651"/>
      <c r="G265" s="567"/>
    </row>
    <row r="266">
      <c r="B266" s="631"/>
      <c r="C266" s="527"/>
      <c r="E266" s="484"/>
      <c r="F266" s="651"/>
      <c r="G266" s="567"/>
    </row>
    <row r="267">
      <c r="B267" s="631"/>
      <c r="C267" s="527"/>
      <c r="E267" s="484"/>
      <c r="F267" s="651"/>
      <c r="G267" s="567"/>
    </row>
    <row r="268">
      <c r="B268" s="631"/>
      <c r="C268" s="527"/>
      <c r="E268" s="484"/>
      <c r="F268" s="651"/>
      <c r="G268" s="567"/>
    </row>
    <row r="269">
      <c r="B269" s="631"/>
      <c r="C269" s="527"/>
      <c r="E269" s="484"/>
      <c r="F269" s="651"/>
      <c r="G269" s="567"/>
    </row>
    <row r="270">
      <c r="B270" s="631"/>
      <c r="C270" s="527"/>
      <c r="E270" s="484"/>
      <c r="F270" s="651"/>
      <c r="G270" s="567"/>
    </row>
    <row r="271">
      <c r="B271" s="631"/>
      <c r="C271" s="527"/>
      <c r="E271" s="484"/>
      <c r="F271" s="651"/>
      <c r="G271" s="567"/>
    </row>
    <row r="272">
      <c r="B272" s="631"/>
      <c r="C272" s="527"/>
      <c r="E272" s="484"/>
      <c r="F272" s="651"/>
      <c r="G272" s="567"/>
    </row>
    <row r="273">
      <c r="B273" s="631"/>
      <c r="C273" s="527"/>
      <c r="E273" s="484"/>
      <c r="F273" s="651"/>
      <c r="G273" s="567"/>
    </row>
    <row r="274">
      <c r="B274" s="631"/>
      <c r="C274" s="527"/>
      <c r="E274" s="484"/>
      <c r="F274" s="651"/>
      <c r="G274" s="567"/>
    </row>
    <row r="275">
      <c r="B275" s="631"/>
      <c r="C275" s="527"/>
      <c r="E275" s="484"/>
      <c r="F275" s="651"/>
      <c r="G275" s="567"/>
    </row>
    <row r="276">
      <c r="B276" s="631"/>
      <c r="C276" s="527"/>
      <c r="E276" s="484"/>
      <c r="F276" s="651"/>
      <c r="G276" s="567"/>
    </row>
    <row r="277">
      <c r="B277" s="631"/>
      <c r="C277" s="527"/>
      <c r="E277" s="484"/>
      <c r="F277" s="651"/>
      <c r="G277" s="567"/>
    </row>
    <row r="278">
      <c r="B278" s="631"/>
      <c r="C278" s="527"/>
      <c r="E278" s="484"/>
      <c r="F278" s="651"/>
      <c r="G278" s="567"/>
    </row>
    <row r="279">
      <c r="B279" s="631"/>
      <c r="C279" s="527"/>
      <c r="E279" s="484"/>
      <c r="F279" s="651"/>
      <c r="G279" s="567"/>
    </row>
    <row r="280">
      <c r="B280" s="631"/>
      <c r="C280" s="527"/>
      <c r="E280" s="484"/>
      <c r="F280" s="651"/>
      <c r="G280" s="567"/>
    </row>
    <row r="281">
      <c r="B281" s="631"/>
      <c r="C281" s="527"/>
      <c r="E281" s="484"/>
      <c r="F281" s="651"/>
      <c r="G281" s="567"/>
    </row>
    <row r="282">
      <c r="B282" s="631"/>
      <c r="C282" s="527"/>
      <c r="E282" s="484"/>
      <c r="F282" s="651"/>
      <c r="G282" s="567"/>
    </row>
    <row r="283">
      <c r="B283" s="631"/>
      <c r="C283" s="527"/>
      <c r="E283" s="484"/>
      <c r="F283" s="651"/>
      <c r="G283" s="567"/>
    </row>
    <row r="284">
      <c r="B284" s="631"/>
      <c r="C284" s="527"/>
      <c r="E284" s="484"/>
      <c r="F284" s="651"/>
      <c r="G284" s="567"/>
    </row>
    <row r="285">
      <c r="B285" s="631"/>
      <c r="C285" s="527"/>
      <c r="E285" s="484"/>
      <c r="F285" s="651"/>
      <c r="G285" s="567"/>
    </row>
    <row r="286">
      <c r="B286" s="631"/>
      <c r="C286" s="527"/>
      <c r="E286" s="484"/>
      <c r="F286" s="651"/>
      <c r="G286" s="567"/>
    </row>
    <row r="287">
      <c r="B287" s="631"/>
      <c r="C287" s="527"/>
      <c r="E287" s="484"/>
      <c r="F287" s="651"/>
      <c r="G287" s="567"/>
    </row>
    <row r="288">
      <c r="B288" s="631"/>
      <c r="C288" s="527"/>
      <c r="E288" s="484"/>
      <c r="F288" s="651"/>
      <c r="G288" s="567"/>
    </row>
    <row r="289">
      <c r="B289" s="631"/>
      <c r="C289" s="527"/>
      <c r="E289" s="484"/>
      <c r="F289" s="651"/>
      <c r="G289" s="567"/>
    </row>
    <row r="290">
      <c r="B290" s="631"/>
      <c r="C290" s="527"/>
      <c r="E290" s="484"/>
      <c r="F290" s="651"/>
      <c r="G290" s="567"/>
    </row>
    <row r="291">
      <c r="B291" s="631"/>
      <c r="C291" s="527"/>
      <c r="E291" s="484"/>
      <c r="F291" s="651"/>
      <c r="G291" s="567"/>
    </row>
    <row r="292">
      <c r="B292" s="631"/>
      <c r="C292" s="527"/>
      <c r="E292" s="484"/>
      <c r="F292" s="651"/>
      <c r="G292" s="567"/>
    </row>
    <row r="293">
      <c r="B293" s="631"/>
      <c r="C293" s="527"/>
      <c r="E293" s="484"/>
      <c r="F293" s="651"/>
      <c r="G293" s="567"/>
    </row>
    <row r="294">
      <c r="B294" s="631"/>
      <c r="C294" s="527"/>
      <c r="E294" s="484"/>
      <c r="F294" s="651"/>
      <c r="G294" s="567"/>
    </row>
    <row r="295">
      <c r="B295" s="631"/>
      <c r="C295" s="527"/>
      <c r="E295" s="484"/>
      <c r="F295" s="651"/>
      <c r="G295" s="567"/>
    </row>
    <row r="296">
      <c r="B296" s="631"/>
      <c r="C296" s="527"/>
      <c r="E296" s="484"/>
      <c r="F296" s="651"/>
      <c r="G296" s="567"/>
    </row>
    <row r="297">
      <c r="B297" s="631"/>
      <c r="C297" s="527"/>
      <c r="E297" s="484"/>
      <c r="F297" s="651"/>
      <c r="G297" s="567"/>
    </row>
    <row r="298">
      <c r="B298" s="631"/>
      <c r="C298" s="527"/>
      <c r="E298" s="484"/>
      <c r="F298" s="651"/>
      <c r="G298" s="567"/>
    </row>
    <row r="299">
      <c r="B299" s="631"/>
      <c r="C299" s="527"/>
      <c r="E299" s="484"/>
      <c r="F299" s="651"/>
      <c r="G299" s="567"/>
    </row>
    <row r="300">
      <c r="B300" s="631"/>
      <c r="C300" s="527"/>
      <c r="E300" s="484"/>
      <c r="F300" s="651"/>
      <c r="G300" s="567"/>
    </row>
    <row r="301">
      <c r="B301" s="631"/>
      <c r="C301" s="527"/>
      <c r="E301" s="484"/>
      <c r="F301" s="651"/>
      <c r="G301" s="567"/>
    </row>
    <row r="302">
      <c r="B302" s="631"/>
      <c r="C302" s="527"/>
      <c r="E302" s="484"/>
      <c r="F302" s="651"/>
      <c r="G302" s="567"/>
    </row>
    <row r="303">
      <c r="B303" s="631"/>
      <c r="C303" s="527"/>
      <c r="E303" s="484"/>
      <c r="F303" s="651"/>
      <c r="G303" s="567"/>
    </row>
    <row r="304">
      <c r="B304" s="631"/>
      <c r="C304" s="527"/>
      <c r="E304" s="484"/>
      <c r="F304" s="651"/>
      <c r="G304" s="567"/>
    </row>
    <row r="305">
      <c r="B305" s="631"/>
      <c r="C305" s="527"/>
      <c r="E305" s="484"/>
      <c r="F305" s="651"/>
      <c r="G305" s="567"/>
    </row>
    <row r="306">
      <c r="B306" s="631"/>
      <c r="C306" s="527"/>
      <c r="E306" s="484"/>
      <c r="F306" s="651"/>
      <c r="G306" s="567"/>
    </row>
    <row r="307">
      <c r="B307" s="631"/>
      <c r="C307" s="527"/>
      <c r="E307" s="484"/>
      <c r="F307" s="651"/>
      <c r="G307" s="567"/>
    </row>
    <row r="308">
      <c r="B308" s="631"/>
      <c r="C308" s="527"/>
      <c r="E308" s="484"/>
      <c r="F308" s="651"/>
      <c r="G308" s="567"/>
    </row>
    <row r="309">
      <c r="B309" s="631"/>
      <c r="C309" s="527"/>
      <c r="E309" s="484"/>
      <c r="F309" s="651"/>
      <c r="G309" s="567"/>
    </row>
    <row r="310">
      <c r="B310" s="631"/>
      <c r="C310" s="527"/>
      <c r="E310" s="484"/>
      <c r="F310" s="651"/>
      <c r="G310" s="567"/>
    </row>
    <row r="311">
      <c r="B311" s="631"/>
      <c r="C311" s="527"/>
      <c r="E311" s="484"/>
      <c r="F311" s="651"/>
      <c r="G311" s="567"/>
    </row>
    <row r="312">
      <c r="B312" s="631"/>
      <c r="C312" s="527"/>
      <c r="E312" s="484"/>
      <c r="F312" s="651"/>
      <c r="G312" s="567"/>
    </row>
    <row r="313">
      <c r="B313" s="631"/>
      <c r="C313" s="527"/>
      <c r="E313" s="484"/>
      <c r="F313" s="651"/>
      <c r="G313" s="567"/>
    </row>
    <row r="314">
      <c r="B314" s="631"/>
      <c r="C314" s="527"/>
      <c r="E314" s="484"/>
      <c r="F314" s="651"/>
      <c r="G314" s="567"/>
    </row>
    <row r="315">
      <c r="B315" s="631"/>
      <c r="C315" s="527"/>
      <c r="E315" s="484"/>
      <c r="F315" s="651"/>
      <c r="G315" s="567"/>
    </row>
    <row r="316">
      <c r="B316" s="631"/>
      <c r="C316" s="527"/>
      <c r="E316" s="484"/>
      <c r="F316" s="651"/>
      <c r="G316" s="567"/>
    </row>
    <row r="317">
      <c r="B317" s="631"/>
      <c r="C317" s="527"/>
      <c r="E317" s="484"/>
      <c r="F317" s="651"/>
      <c r="G317" s="567"/>
    </row>
    <row r="318">
      <c r="B318" s="631"/>
      <c r="C318" s="527"/>
      <c r="E318" s="484"/>
      <c r="F318" s="651"/>
      <c r="G318" s="567"/>
    </row>
    <row r="319">
      <c r="B319" s="631"/>
      <c r="C319" s="527"/>
      <c r="E319" s="484"/>
      <c r="F319" s="651"/>
      <c r="G319" s="567"/>
    </row>
    <row r="320">
      <c r="B320" s="631"/>
      <c r="C320" s="527"/>
      <c r="E320" s="484"/>
      <c r="F320" s="651"/>
      <c r="G320" s="567"/>
    </row>
    <row r="321">
      <c r="B321" s="631"/>
      <c r="C321" s="527"/>
      <c r="E321" s="484"/>
      <c r="F321" s="651"/>
      <c r="G321" s="567"/>
    </row>
    <row r="322">
      <c r="B322" s="631"/>
      <c r="C322" s="527"/>
      <c r="E322" s="484"/>
      <c r="F322" s="651"/>
      <c r="G322" s="567"/>
    </row>
    <row r="323">
      <c r="B323" s="631"/>
      <c r="C323" s="527"/>
      <c r="E323" s="484"/>
      <c r="F323" s="651"/>
      <c r="G323" s="567"/>
    </row>
    <row r="324">
      <c r="B324" s="631"/>
      <c r="C324" s="527"/>
      <c r="E324" s="484"/>
      <c r="F324" s="651"/>
      <c r="G324" s="567"/>
    </row>
    <row r="325">
      <c r="B325" s="631"/>
      <c r="C325" s="527"/>
      <c r="E325" s="484"/>
      <c r="F325" s="651"/>
      <c r="G325" s="567"/>
    </row>
    <row r="326">
      <c r="B326" s="631"/>
      <c r="C326" s="527"/>
      <c r="E326" s="484"/>
      <c r="F326" s="651"/>
      <c r="G326" s="567"/>
    </row>
    <row r="327">
      <c r="B327" s="631"/>
      <c r="C327" s="527"/>
      <c r="E327" s="484"/>
      <c r="F327" s="651"/>
      <c r="G327" s="567"/>
    </row>
    <row r="328">
      <c r="B328" s="631"/>
      <c r="C328" s="527"/>
      <c r="E328" s="484"/>
      <c r="F328" s="651"/>
      <c r="G328" s="567"/>
    </row>
    <row r="329">
      <c r="B329" s="631"/>
      <c r="C329" s="527"/>
      <c r="E329" s="484"/>
      <c r="F329" s="651"/>
      <c r="G329" s="567"/>
    </row>
    <row r="330">
      <c r="B330" s="631"/>
      <c r="C330" s="527"/>
      <c r="E330" s="484"/>
      <c r="F330" s="651"/>
      <c r="G330" s="567"/>
    </row>
    <row r="331">
      <c r="B331" s="631"/>
      <c r="C331" s="527"/>
      <c r="E331" s="484"/>
      <c r="F331" s="651"/>
      <c r="G331" s="567"/>
    </row>
    <row r="332">
      <c r="B332" s="631"/>
      <c r="C332" s="527"/>
      <c r="E332" s="484"/>
      <c r="F332" s="651"/>
      <c r="G332" s="567"/>
    </row>
    <row r="333">
      <c r="B333" s="631"/>
      <c r="C333" s="527"/>
      <c r="E333" s="484"/>
      <c r="F333" s="651"/>
      <c r="G333" s="567"/>
    </row>
    <row r="334">
      <c r="B334" s="631"/>
      <c r="C334" s="527"/>
      <c r="E334" s="484"/>
      <c r="F334" s="651"/>
      <c r="G334" s="567"/>
    </row>
    <row r="335">
      <c r="B335" s="631"/>
      <c r="C335" s="527"/>
      <c r="E335" s="484"/>
      <c r="F335" s="651"/>
      <c r="G335" s="567"/>
    </row>
    <row r="336">
      <c r="B336" s="631"/>
      <c r="C336" s="527"/>
      <c r="E336" s="484"/>
      <c r="F336" s="651"/>
      <c r="G336" s="567"/>
    </row>
    <row r="337">
      <c r="B337" s="631"/>
      <c r="C337" s="527"/>
      <c r="E337" s="484"/>
      <c r="F337" s="651"/>
      <c r="G337" s="567"/>
    </row>
    <row r="338">
      <c r="B338" s="631"/>
      <c r="C338" s="527"/>
      <c r="E338" s="484"/>
      <c r="F338" s="651"/>
      <c r="G338" s="567"/>
    </row>
    <row r="339">
      <c r="B339" s="631"/>
      <c r="C339" s="527"/>
      <c r="E339" s="484"/>
      <c r="F339" s="651"/>
      <c r="G339" s="567"/>
    </row>
    <row r="340">
      <c r="B340" s="631"/>
      <c r="C340" s="527"/>
      <c r="E340" s="484"/>
      <c r="F340" s="651"/>
      <c r="G340" s="567"/>
    </row>
    <row r="341">
      <c r="B341" s="631"/>
      <c r="C341" s="527"/>
      <c r="E341" s="484"/>
      <c r="F341" s="651"/>
      <c r="G341" s="567"/>
    </row>
    <row r="342">
      <c r="B342" s="631"/>
      <c r="C342" s="527"/>
      <c r="E342" s="484"/>
      <c r="F342" s="651"/>
      <c r="G342" s="567"/>
    </row>
    <row r="343">
      <c r="B343" s="631"/>
      <c r="C343" s="527"/>
      <c r="E343" s="484"/>
      <c r="F343" s="651"/>
      <c r="G343" s="567"/>
    </row>
    <row r="344">
      <c r="B344" s="631"/>
      <c r="C344" s="527"/>
      <c r="E344" s="484"/>
      <c r="F344" s="651"/>
      <c r="G344" s="567"/>
    </row>
    <row r="345">
      <c r="B345" s="631"/>
      <c r="C345" s="527"/>
      <c r="E345" s="484"/>
      <c r="F345" s="651"/>
      <c r="G345" s="567"/>
    </row>
    <row r="346">
      <c r="B346" s="631"/>
      <c r="C346" s="527"/>
      <c r="E346" s="484"/>
      <c r="F346" s="651"/>
      <c r="G346" s="567"/>
    </row>
    <row r="347">
      <c r="B347" s="631"/>
      <c r="C347" s="527"/>
      <c r="E347" s="484"/>
      <c r="F347" s="651"/>
      <c r="G347" s="567"/>
    </row>
    <row r="348">
      <c r="B348" s="631"/>
      <c r="C348" s="527"/>
      <c r="E348" s="484"/>
      <c r="F348" s="651"/>
      <c r="G348" s="567"/>
    </row>
    <row r="349">
      <c r="B349" s="631"/>
      <c r="C349" s="527"/>
      <c r="E349" s="484"/>
      <c r="F349" s="651"/>
      <c r="G349" s="567"/>
    </row>
    <row r="350">
      <c r="B350" s="631"/>
      <c r="C350" s="527"/>
      <c r="E350" s="484"/>
      <c r="F350" s="651"/>
      <c r="G350" s="567"/>
    </row>
    <row r="351">
      <c r="B351" s="631"/>
      <c r="C351" s="527"/>
      <c r="E351" s="484"/>
      <c r="F351" s="651"/>
      <c r="G351" s="567"/>
    </row>
    <row r="352">
      <c r="B352" s="631"/>
      <c r="C352" s="527"/>
      <c r="E352" s="484"/>
      <c r="F352" s="651"/>
      <c r="G352" s="567"/>
    </row>
    <row r="353">
      <c r="B353" s="631"/>
      <c r="C353" s="527"/>
      <c r="E353" s="484"/>
      <c r="F353" s="651"/>
      <c r="G353" s="567"/>
    </row>
    <row r="354">
      <c r="B354" s="631"/>
      <c r="C354" s="527"/>
      <c r="E354" s="484"/>
      <c r="F354" s="651"/>
      <c r="G354" s="567"/>
    </row>
    <row r="355">
      <c r="B355" s="631"/>
      <c r="C355" s="527"/>
      <c r="E355" s="484"/>
      <c r="F355" s="651"/>
      <c r="G355" s="567"/>
    </row>
    <row r="356">
      <c r="B356" s="631"/>
      <c r="C356" s="527"/>
      <c r="E356" s="484"/>
      <c r="F356" s="651"/>
      <c r="G356" s="567"/>
    </row>
    <row r="357">
      <c r="B357" s="631"/>
      <c r="C357" s="527"/>
      <c r="E357" s="484"/>
      <c r="F357" s="651"/>
      <c r="G357" s="567"/>
    </row>
    <row r="358">
      <c r="B358" s="631"/>
      <c r="C358" s="527"/>
      <c r="E358" s="484"/>
      <c r="F358" s="651"/>
      <c r="G358" s="567"/>
    </row>
    <row r="359">
      <c r="B359" s="631"/>
      <c r="C359" s="527"/>
      <c r="E359" s="484"/>
      <c r="F359" s="651"/>
      <c r="G359" s="567"/>
    </row>
    <row r="360">
      <c r="B360" s="631"/>
      <c r="C360" s="527"/>
      <c r="E360" s="484"/>
      <c r="F360" s="651"/>
      <c r="G360" s="567"/>
    </row>
    <row r="361">
      <c r="B361" s="631"/>
      <c r="C361" s="527"/>
      <c r="E361" s="484"/>
      <c r="F361" s="651"/>
      <c r="G361" s="567"/>
    </row>
    <row r="362">
      <c r="B362" s="631"/>
      <c r="C362" s="527"/>
      <c r="E362" s="484"/>
      <c r="F362" s="651"/>
      <c r="G362" s="567"/>
    </row>
    <row r="363">
      <c r="B363" s="631"/>
      <c r="C363" s="527"/>
      <c r="E363" s="484"/>
      <c r="F363" s="651"/>
      <c r="G363" s="567"/>
    </row>
    <row r="364">
      <c r="B364" s="631"/>
      <c r="C364" s="527"/>
      <c r="E364" s="484"/>
      <c r="F364" s="651"/>
      <c r="G364" s="567"/>
    </row>
    <row r="365">
      <c r="B365" s="631"/>
      <c r="C365" s="527"/>
      <c r="E365" s="484"/>
      <c r="F365" s="651"/>
      <c r="G365" s="567"/>
    </row>
    <row r="366">
      <c r="B366" s="631"/>
      <c r="C366" s="527"/>
      <c r="E366" s="484"/>
      <c r="F366" s="651"/>
      <c r="G366" s="567"/>
    </row>
    <row r="367">
      <c r="B367" s="631"/>
      <c r="C367" s="527"/>
      <c r="E367" s="484"/>
      <c r="F367" s="651"/>
      <c r="G367" s="567"/>
    </row>
    <row r="368">
      <c r="B368" s="631"/>
      <c r="C368" s="527"/>
      <c r="E368" s="484"/>
      <c r="F368" s="651"/>
      <c r="G368" s="567"/>
    </row>
    <row r="369">
      <c r="B369" s="631"/>
      <c r="C369" s="527"/>
      <c r="E369" s="484"/>
      <c r="F369" s="651"/>
      <c r="G369" s="567"/>
    </row>
    <row r="370">
      <c r="B370" s="631"/>
      <c r="C370" s="527"/>
      <c r="E370" s="484"/>
      <c r="F370" s="651"/>
      <c r="G370" s="567"/>
    </row>
    <row r="371">
      <c r="B371" s="631"/>
      <c r="C371" s="527"/>
      <c r="E371" s="484"/>
      <c r="F371" s="651"/>
      <c r="G371" s="567"/>
    </row>
    <row r="372">
      <c r="B372" s="631"/>
      <c r="C372" s="527"/>
      <c r="E372" s="484"/>
      <c r="F372" s="651"/>
      <c r="G372" s="567"/>
    </row>
    <row r="373">
      <c r="B373" s="631"/>
      <c r="C373" s="527"/>
      <c r="E373" s="484"/>
      <c r="F373" s="651"/>
      <c r="G373" s="567"/>
    </row>
    <row r="374">
      <c r="B374" s="631"/>
      <c r="C374" s="527"/>
      <c r="E374" s="484"/>
      <c r="F374" s="651"/>
      <c r="G374" s="567"/>
    </row>
    <row r="375">
      <c r="B375" s="631"/>
      <c r="C375" s="527"/>
      <c r="E375" s="484"/>
      <c r="F375" s="651"/>
      <c r="G375" s="567"/>
    </row>
    <row r="376">
      <c r="B376" s="631"/>
      <c r="C376" s="527"/>
      <c r="E376" s="484"/>
      <c r="F376" s="651"/>
      <c r="G376" s="567"/>
    </row>
    <row r="377">
      <c r="B377" s="631"/>
      <c r="C377" s="527"/>
      <c r="E377" s="484"/>
      <c r="F377" s="651"/>
      <c r="G377" s="567"/>
    </row>
    <row r="378">
      <c r="B378" s="631"/>
      <c r="C378" s="527"/>
      <c r="E378" s="484"/>
      <c r="F378" s="651"/>
      <c r="G378" s="567"/>
    </row>
    <row r="379">
      <c r="B379" s="631"/>
      <c r="C379" s="527"/>
      <c r="E379" s="484"/>
      <c r="F379" s="651"/>
      <c r="G379" s="567"/>
    </row>
    <row r="380">
      <c r="B380" s="631"/>
      <c r="C380" s="527"/>
      <c r="E380" s="484"/>
      <c r="F380" s="651"/>
      <c r="G380" s="567"/>
    </row>
    <row r="381">
      <c r="B381" s="631"/>
      <c r="C381" s="527"/>
      <c r="E381" s="484"/>
      <c r="F381" s="651"/>
      <c r="G381" s="567"/>
    </row>
    <row r="382">
      <c r="B382" s="631"/>
      <c r="C382" s="527"/>
      <c r="E382" s="484"/>
      <c r="F382" s="651"/>
      <c r="G382" s="567"/>
    </row>
    <row r="383">
      <c r="B383" s="631"/>
      <c r="C383" s="527"/>
      <c r="E383" s="484"/>
      <c r="F383" s="651"/>
      <c r="G383" s="567"/>
    </row>
    <row r="384">
      <c r="B384" s="631"/>
      <c r="C384" s="527"/>
      <c r="E384" s="484"/>
      <c r="F384" s="651"/>
      <c r="G384" s="567"/>
    </row>
    <row r="385">
      <c r="B385" s="631"/>
      <c r="C385" s="527"/>
      <c r="E385" s="484"/>
      <c r="F385" s="651"/>
      <c r="G385" s="567"/>
    </row>
    <row r="386">
      <c r="B386" s="631"/>
      <c r="C386" s="527"/>
      <c r="E386" s="484"/>
      <c r="F386" s="651"/>
      <c r="G386" s="567"/>
    </row>
    <row r="387">
      <c r="B387" s="631"/>
      <c r="C387" s="527"/>
      <c r="E387" s="484"/>
      <c r="F387" s="651"/>
      <c r="G387" s="567"/>
    </row>
    <row r="388">
      <c r="B388" s="631"/>
      <c r="C388" s="527"/>
      <c r="E388" s="484"/>
      <c r="F388" s="651"/>
      <c r="G388" s="567"/>
    </row>
    <row r="389">
      <c r="B389" s="631"/>
      <c r="C389" s="527"/>
      <c r="E389" s="484"/>
      <c r="F389" s="651"/>
      <c r="G389" s="567"/>
    </row>
    <row r="390">
      <c r="B390" s="631"/>
      <c r="C390" s="527"/>
      <c r="E390" s="484"/>
      <c r="F390" s="651"/>
      <c r="G390" s="567"/>
    </row>
    <row r="391">
      <c r="B391" s="631"/>
      <c r="C391" s="527"/>
      <c r="E391" s="484"/>
      <c r="F391" s="651"/>
      <c r="G391" s="567"/>
    </row>
    <row r="392">
      <c r="B392" s="631"/>
      <c r="C392" s="527"/>
      <c r="E392" s="484"/>
      <c r="F392" s="651"/>
      <c r="G392" s="567"/>
    </row>
    <row r="393">
      <c r="B393" s="631"/>
      <c r="C393" s="527"/>
      <c r="E393" s="484"/>
      <c r="F393" s="651"/>
      <c r="G393" s="567"/>
    </row>
    <row r="394">
      <c r="B394" s="631"/>
      <c r="C394" s="527"/>
      <c r="E394" s="484"/>
      <c r="F394" s="651"/>
      <c r="G394" s="567"/>
    </row>
    <row r="395">
      <c r="B395" s="631"/>
      <c r="C395" s="527"/>
      <c r="E395" s="484"/>
      <c r="F395" s="651"/>
      <c r="G395" s="567"/>
    </row>
    <row r="396">
      <c r="B396" s="631"/>
      <c r="C396" s="527"/>
      <c r="E396" s="484"/>
      <c r="F396" s="651"/>
      <c r="G396" s="567"/>
    </row>
    <row r="397">
      <c r="B397" s="631"/>
      <c r="C397" s="527"/>
      <c r="E397" s="484"/>
      <c r="F397" s="651"/>
      <c r="G397" s="567"/>
    </row>
    <row r="398">
      <c r="B398" s="631"/>
      <c r="C398" s="527"/>
      <c r="E398" s="484"/>
      <c r="F398" s="651"/>
      <c r="G398" s="567"/>
    </row>
    <row r="399">
      <c r="B399" s="631"/>
      <c r="C399" s="527"/>
      <c r="E399" s="484"/>
      <c r="F399" s="651"/>
      <c r="G399" s="567"/>
    </row>
    <row r="400">
      <c r="B400" s="631"/>
      <c r="C400" s="527"/>
      <c r="E400" s="484"/>
      <c r="F400" s="651"/>
      <c r="G400" s="567"/>
    </row>
    <row r="401">
      <c r="B401" s="631"/>
      <c r="C401" s="527"/>
      <c r="E401" s="484"/>
      <c r="F401" s="651"/>
      <c r="G401" s="567"/>
    </row>
    <row r="402">
      <c r="B402" s="631"/>
      <c r="C402" s="527"/>
      <c r="E402" s="484"/>
      <c r="F402" s="651"/>
      <c r="G402" s="567"/>
    </row>
    <row r="403">
      <c r="B403" s="631"/>
      <c r="C403" s="527"/>
      <c r="E403" s="484"/>
      <c r="F403" s="651"/>
      <c r="G403" s="567"/>
    </row>
    <row r="404">
      <c r="B404" s="631"/>
      <c r="C404" s="527"/>
      <c r="E404" s="484"/>
      <c r="F404" s="651"/>
      <c r="G404" s="567"/>
    </row>
    <row r="405">
      <c r="B405" s="631"/>
      <c r="C405" s="527"/>
      <c r="E405" s="484"/>
      <c r="F405" s="651"/>
      <c r="G405" s="567"/>
    </row>
    <row r="406">
      <c r="B406" s="631"/>
      <c r="C406" s="527"/>
      <c r="E406" s="484"/>
      <c r="F406" s="651"/>
      <c r="G406" s="567"/>
    </row>
    <row r="407">
      <c r="B407" s="631"/>
      <c r="C407" s="527"/>
      <c r="E407" s="484"/>
      <c r="F407" s="651"/>
      <c r="G407" s="567"/>
    </row>
    <row r="408">
      <c r="B408" s="631"/>
      <c r="C408" s="527"/>
      <c r="E408" s="484"/>
      <c r="F408" s="651"/>
      <c r="G408" s="567"/>
    </row>
    <row r="409">
      <c r="B409" s="631"/>
      <c r="C409" s="527"/>
      <c r="E409" s="484"/>
      <c r="F409" s="651"/>
      <c r="G409" s="567"/>
    </row>
    <row r="410">
      <c r="B410" s="631"/>
      <c r="C410" s="527"/>
      <c r="E410" s="484"/>
      <c r="F410" s="651"/>
      <c r="G410" s="567"/>
    </row>
    <row r="411">
      <c r="B411" s="631"/>
      <c r="C411" s="527"/>
      <c r="E411" s="484"/>
      <c r="F411" s="651"/>
      <c r="G411" s="567"/>
    </row>
    <row r="412">
      <c r="B412" s="631"/>
      <c r="C412" s="527"/>
      <c r="E412" s="484"/>
      <c r="F412" s="651"/>
      <c r="G412" s="567"/>
    </row>
    <row r="413">
      <c r="B413" s="631"/>
      <c r="C413" s="527"/>
      <c r="E413" s="484"/>
      <c r="F413" s="651"/>
      <c r="G413" s="567"/>
    </row>
    <row r="414">
      <c r="B414" s="631"/>
      <c r="C414" s="527"/>
      <c r="E414" s="484"/>
      <c r="F414" s="651"/>
      <c r="G414" s="567"/>
    </row>
    <row r="415">
      <c r="B415" s="631"/>
      <c r="C415" s="527"/>
      <c r="E415" s="484"/>
      <c r="F415" s="651"/>
      <c r="G415" s="567"/>
    </row>
    <row r="416">
      <c r="B416" s="631"/>
      <c r="C416" s="527"/>
      <c r="E416" s="484"/>
      <c r="F416" s="651"/>
      <c r="G416" s="567"/>
    </row>
    <row r="417">
      <c r="B417" s="631"/>
      <c r="C417" s="527"/>
      <c r="E417" s="484"/>
      <c r="F417" s="651"/>
      <c r="G417" s="567"/>
    </row>
    <row r="418">
      <c r="B418" s="631"/>
      <c r="C418" s="527"/>
      <c r="E418" s="484"/>
      <c r="F418" s="651"/>
      <c r="G418" s="567"/>
    </row>
    <row r="419">
      <c r="B419" s="631"/>
      <c r="C419" s="527"/>
      <c r="E419" s="484"/>
      <c r="F419" s="651"/>
      <c r="G419" s="567"/>
    </row>
    <row r="420">
      <c r="B420" s="631"/>
      <c r="C420" s="527"/>
      <c r="E420" s="484"/>
      <c r="F420" s="651"/>
      <c r="G420" s="567"/>
    </row>
    <row r="421">
      <c r="B421" s="631"/>
      <c r="C421" s="527"/>
      <c r="E421" s="484"/>
      <c r="F421" s="651"/>
      <c r="G421" s="567"/>
    </row>
    <row r="422">
      <c r="B422" s="631"/>
      <c r="C422" s="527"/>
      <c r="E422" s="484"/>
      <c r="F422" s="651"/>
      <c r="G422" s="567"/>
    </row>
    <row r="423">
      <c r="B423" s="631"/>
      <c r="C423" s="527"/>
      <c r="E423" s="484"/>
      <c r="F423" s="651"/>
      <c r="G423" s="567"/>
    </row>
    <row r="424">
      <c r="B424" s="631"/>
      <c r="C424" s="527"/>
      <c r="E424" s="484"/>
      <c r="F424" s="651"/>
      <c r="G424" s="567"/>
    </row>
    <row r="425">
      <c r="B425" s="631"/>
      <c r="C425" s="527"/>
      <c r="E425" s="484"/>
      <c r="F425" s="651"/>
      <c r="G425" s="567"/>
    </row>
    <row r="426">
      <c r="B426" s="631"/>
      <c r="C426" s="527"/>
      <c r="E426" s="484"/>
      <c r="F426" s="651"/>
      <c r="G426" s="567"/>
    </row>
    <row r="427">
      <c r="B427" s="631"/>
      <c r="C427" s="527"/>
      <c r="E427" s="484"/>
      <c r="F427" s="651"/>
      <c r="G427" s="567"/>
    </row>
    <row r="428">
      <c r="B428" s="631"/>
      <c r="C428" s="527"/>
      <c r="E428" s="484"/>
      <c r="F428" s="651"/>
      <c r="G428" s="567"/>
    </row>
    <row r="429">
      <c r="B429" s="631"/>
      <c r="C429" s="527"/>
      <c r="E429" s="484"/>
      <c r="F429" s="651"/>
      <c r="G429" s="567"/>
    </row>
    <row r="430">
      <c r="B430" s="631"/>
      <c r="C430" s="527"/>
      <c r="E430" s="484"/>
      <c r="F430" s="651"/>
      <c r="G430" s="567"/>
    </row>
    <row r="431">
      <c r="B431" s="631"/>
      <c r="C431" s="527"/>
      <c r="E431" s="484"/>
      <c r="F431" s="651"/>
      <c r="G431" s="567"/>
    </row>
    <row r="432">
      <c r="B432" s="631"/>
      <c r="C432" s="527"/>
      <c r="E432" s="484"/>
      <c r="F432" s="651"/>
      <c r="G432" s="567"/>
    </row>
    <row r="433">
      <c r="B433" s="631"/>
      <c r="C433" s="527"/>
      <c r="E433" s="484"/>
      <c r="F433" s="651"/>
      <c r="G433" s="567"/>
    </row>
    <row r="434">
      <c r="B434" s="631"/>
      <c r="C434" s="527"/>
      <c r="E434" s="484"/>
      <c r="F434" s="651"/>
      <c r="G434" s="567"/>
    </row>
    <row r="435">
      <c r="B435" s="631"/>
      <c r="C435" s="527"/>
      <c r="E435" s="484"/>
      <c r="F435" s="651"/>
      <c r="G435" s="567"/>
    </row>
    <row r="436">
      <c r="B436" s="631"/>
      <c r="C436" s="527"/>
      <c r="E436" s="484"/>
      <c r="F436" s="651"/>
      <c r="G436" s="567"/>
    </row>
    <row r="437">
      <c r="B437" s="631"/>
      <c r="C437" s="527"/>
      <c r="E437" s="484"/>
      <c r="F437" s="651"/>
      <c r="G437" s="567"/>
    </row>
    <row r="438">
      <c r="B438" s="631"/>
      <c r="C438" s="527"/>
      <c r="E438" s="484"/>
      <c r="F438" s="651"/>
      <c r="G438" s="567"/>
    </row>
    <row r="439">
      <c r="B439" s="631"/>
      <c r="C439" s="527"/>
      <c r="E439" s="484"/>
      <c r="F439" s="651"/>
      <c r="G439" s="567"/>
    </row>
    <row r="440">
      <c r="B440" s="631"/>
      <c r="C440" s="527"/>
      <c r="E440" s="484"/>
      <c r="F440" s="651"/>
      <c r="G440" s="567"/>
    </row>
    <row r="441">
      <c r="B441" s="631"/>
      <c r="C441" s="527"/>
      <c r="E441" s="484"/>
      <c r="F441" s="651"/>
      <c r="G441" s="567"/>
    </row>
    <row r="442">
      <c r="B442" s="631"/>
      <c r="C442" s="527"/>
      <c r="E442" s="484"/>
      <c r="F442" s="651"/>
      <c r="G442" s="567"/>
    </row>
    <row r="443">
      <c r="B443" s="631"/>
      <c r="C443" s="527"/>
      <c r="E443" s="484"/>
      <c r="F443" s="651"/>
      <c r="G443" s="567"/>
    </row>
    <row r="444">
      <c r="B444" s="631"/>
      <c r="C444" s="527"/>
      <c r="E444" s="484"/>
      <c r="F444" s="651"/>
      <c r="G444" s="567"/>
    </row>
    <row r="445">
      <c r="B445" s="631"/>
      <c r="C445" s="527"/>
      <c r="E445" s="484"/>
      <c r="F445" s="651"/>
      <c r="G445" s="567"/>
    </row>
    <row r="446">
      <c r="B446" s="631"/>
      <c r="C446" s="527"/>
      <c r="E446" s="484"/>
      <c r="F446" s="651"/>
      <c r="G446" s="567"/>
    </row>
    <row r="447">
      <c r="B447" s="631"/>
      <c r="C447" s="527"/>
      <c r="E447" s="484"/>
      <c r="F447" s="651"/>
      <c r="G447" s="567"/>
    </row>
    <row r="448">
      <c r="B448" s="631"/>
      <c r="C448" s="527"/>
      <c r="E448" s="484"/>
      <c r="F448" s="651"/>
      <c r="G448" s="567"/>
    </row>
    <row r="449">
      <c r="B449" s="631"/>
      <c r="C449" s="527"/>
      <c r="E449" s="484"/>
      <c r="F449" s="651"/>
      <c r="G449" s="567"/>
    </row>
    <row r="450">
      <c r="B450" s="631"/>
      <c r="C450" s="527"/>
      <c r="E450" s="484"/>
      <c r="F450" s="651"/>
      <c r="G450" s="567"/>
    </row>
    <row r="451">
      <c r="B451" s="631"/>
      <c r="C451" s="527"/>
      <c r="E451" s="484"/>
      <c r="F451" s="651"/>
      <c r="G451" s="567"/>
    </row>
    <row r="452">
      <c r="B452" s="631"/>
      <c r="C452" s="527"/>
      <c r="E452" s="484"/>
      <c r="F452" s="651"/>
      <c r="G452" s="567"/>
    </row>
    <row r="453">
      <c r="B453" s="631"/>
      <c r="C453" s="527"/>
      <c r="E453" s="484"/>
      <c r="F453" s="651"/>
      <c r="G453" s="567"/>
    </row>
    <row r="454">
      <c r="B454" s="631"/>
      <c r="C454" s="527"/>
      <c r="E454" s="484"/>
      <c r="F454" s="651"/>
      <c r="G454" s="567"/>
    </row>
    <row r="455">
      <c r="B455" s="631"/>
      <c r="C455" s="527"/>
      <c r="E455" s="484"/>
      <c r="F455" s="651"/>
      <c r="G455" s="567"/>
    </row>
    <row r="456">
      <c r="B456" s="631"/>
      <c r="C456" s="527"/>
      <c r="E456" s="484"/>
      <c r="F456" s="651"/>
      <c r="G456" s="567"/>
    </row>
    <row r="457">
      <c r="B457" s="631"/>
      <c r="C457" s="527"/>
      <c r="E457" s="484"/>
      <c r="F457" s="651"/>
      <c r="G457" s="567"/>
    </row>
    <row r="458">
      <c r="B458" s="631"/>
      <c r="C458" s="527"/>
      <c r="E458" s="484"/>
      <c r="F458" s="651"/>
      <c r="G458" s="567"/>
    </row>
    <row r="459">
      <c r="B459" s="631"/>
      <c r="C459" s="527"/>
      <c r="E459" s="484"/>
      <c r="F459" s="651"/>
      <c r="G459" s="567"/>
    </row>
    <row r="460">
      <c r="B460" s="631"/>
      <c r="C460" s="527"/>
      <c r="E460" s="484"/>
      <c r="F460" s="651"/>
      <c r="G460" s="567"/>
    </row>
    <row r="461">
      <c r="B461" s="631"/>
      <c r="C461" s="527"/>
      <c r="E461" s="484"/>
      <c r="F461" s="651"/>
      <c r="G461" s="567"/>
    </row>
    <row r="462">
      <c r="B462" s="631"/>
      <c r="C462" s="527"/>
      <c r="E462" s="484"/>
      <c r="F462" s="651"/>
      <c r="G462" s="567"/>
    </row>
    <row r="463">
      <c r="B463" s="631"/>
      <c r="C463" s="527"/>
      <c r="E463" s="484"/>
      <c r="F463" s="651"/>
      <c r="G463" s="567"/>
    </row>
    <row r="464">
      <c r="B464" s="631"/>
      <c r="C464" s="527"/>
      <c r="E464" s="484"/>
      <c r="F464" s="651"/>
      <c r="G464" s="567"/>
    </row>
    <row r="465">
      <c r="B465" s="631"/>
      <c r="C465" s="527"/>
      <c r="E465" s="484"/>
      <c r="F465" s="651"/>
      <c r="G465" s="567"/>
    </row>
    <row r="466">
      <c r="B466" s="631"/>
      <c r="C466" s="527"/>
      <c r="E466" s="484"/>
      <c r="F466" s="651"/>
      <c r="G466" s="567"/>
    </row>
    <row r="467">
      <c r="B467" s="631"/>
      <c r="C467" s="527"/>
      <c r="E467" s="484"/>
      <c r="F467" s="651"/>
      <c r="G467" s="567"/>
    </row>
    <row r="468">
      <c r="B468" s="631"/>
      <c r="C468" s="527"/>
      <c r="E468" s="484"/>
      <c r="F468" s="651"/>
      <c r="G468" s="567"/>
    </row>
    <row r="469">
      <c r="B469" s="631"/>
      <c r="C469" s="527"/>
      <c r="E469" s="484"/>
      <c r="F469" s="651"/>
      <c r="G469" s="567"/>
    </row>
    <row r="470">
      <c r="B470" s="631"/>
      <c r="C470" s="527"/>
      <c r="E470" s="484"/>
      <c r="F470" s="651"/>
      <c r="G470" s="567"/>
    </row>
    <row r="471">
      <c r="B471" s="631"/>
      <c r="C471" s="527"/>
      <c r="E471" s="484"/>
      <c r="F471" s="651"/>
      <c r="G471" s="567"/>
    </row>
    <row r="472">
      <c r="B472" s="631"/>
      <c r="C472" s="527"/>
      <c r="E472" s="484"/>
      <c r="F472" s="651"/>
      <c r="G472" s="567"/>
    </row>
    <row r="473">
      <c r="B473" s="631"/>
      <c r="C473" s="527"/>
      <c r="E473" s="484"/>
      <c r="F473" s="651"/>
      <c r="G473" s="567"/>
    </row>
    <row r="474">
      <c r="B474" s="631"/>
      <c r="C474" s="527"/>
      <c r="E474" s="484"/>
      <c r="F474" s="651"/>
      <c r="G474" s="567"/>
    </row>
    <row r="475">
      <c r="B475" s="631"/>
      <c r="C475" s="527"/>
      <c r="E475" s="484"/>
      <c r="F475" s="651"/>
      <c r="G475" s="567"/>
    </row>
    <row r="476">
      <c r="B476" s="631"/>
      <c r="C476" s="527"/>
      <c r="E476" s="484"/>
      <c r="F476" s="651"/>
      <c r="G476" s="567"/>
    </row>
    <row r="477">
      <c r="B477" s="631"/>
      <c r="C477" s="527"/>
      <c r="E477" s="484"/>
      <c r="F477" s="651"/>
      <c r="G477" s="567"/>
    </row>
    <row r="478">
      <c r="B478" s="631"/>
      <c r="C478" s="527"/>
      <c r="E478" s="484"/>
      <c r="F478" s="651"/>
      <c r="G478" s="567"/>
    </row>
    <row r="479">
      <c r="B479" s="631"/>
      <c r="C479" s="527"/>
      <c r="E479" s="484"/>
      <c r="F479" s="651"/>
      <c r="G479" s="567"/>
    </row>
    <row r="480">
      <c r="B480" s="631"/>
      <c r="C480" s="527"/>
      <c r="E480" s="484"/>
      <c r="F480" s="651"/>
      <c r="G480" s="567"/>
    </row>
    <row r="481">
      <c r="B481" s="631"/>
      <c r="C481" s="527"/>
      <c r="E481" s="484"/>
      <c r="F481" s="651"/>
      <c r="G481" s="567"/>
    </row>
    <row r="482">
      <c r="B482" s="631"/>
      <c r="C482" s="527"/>
      <c r="E482" s="484"/>
      <c r="F482" s="651"/>
      <c r="G482" s="567"/>
    </row>
    <row r="483">
      <c r="B483" s="631"/>
      <c r="C483" s="527"/>
      <c r="E483" s="484"/>
      <c r="F483" s="651"/>
      <c r="G483" s="567"/>
    </row>
    <row r="484">
      <c r="B484" s="631"/>
      <c r="C484" s="527"/>
      <c r="E484" s="484"/>
      <c r="F484" s="651"/>
      <c r="G484" s="567"/>
    </row>
    <row r="485">
      <c r="B485" s="631"/>
      <c r="C485" s="527"/>
      <c r="E485" s="484"/>
      <c r="F485" s="651"/>
      <c r="G485" s="567"/>
    </row>
    <row r="486">
      <c r="B486" s="631"/>
      <c r="C486" s="527"/>
      <c r="E486" s="484"/>
      <c r="F486" s="651"/>
      <c r="G486" s="567"/>
    </row>
    <row r="487">
      <c r="B487" s="631"/>
      <c r="C487" s="527"/>
      <c r="E487" s="484"/>
      <c r="F487" s="651"/>
      <c r="G487" s="567"/>
    </row>
    <row r="488">
      <c r="B488" s="631"/>
      <c r="C488" s="527"/>
      <c r="E488" s="484"/>
      <c r="F488" s="651"/>
      <c r="G488" s="567"/>
    </row>
    <row r="489">
      <c r="B489" s="631"/>
      <c r="C489" s="527"/>
      <c r="E489" s="484"/>
      <c r="F489" s="651"/>
      <c r="G489" s="567"/>
    </row>
    <row r="490">
      <c r="B490" s="631"/>
      <c r="C490" s="527"/>
      <c r="E490" s="484"/>
      <c r="F490" s="651"/>
      <c r="G490" s="567"/>
    </row>
    <row r="491">
      <c r="B491" s="631"/>
      <c r="C491" s="527"/>
      <c r="E491" s="484"/>
      <c r="F491" s="651"/>
      <c r="G491" s="567"/>
    </row>
    <row r="492">
      <c r="B492" s="631"/>
      <c r="C492" s="527"/>
      <c r="E492" s="484"/>
      <c r="F492" s="651"/>
      <c r="G492" s="567"/>
    </row>
    <row r="493">
      <c r="B493" s="631"/>
      <c r="C493" s="527"/>
      <c r="E493" s="484"/>
      <c r="F493" s="651"/>
      <c r="G493" s="567"/>
    </row>
    <row r="494">
      <c r="B494" s="631"/>
      <c r="C494" s="527"/>
      <c r="E494" s="484"/>
      <c r="F494" s="651"/>
      <c r="G494" s="567"/>
    </row>
    <row r="495">
      <c r="B495" s="631"/>
      <c r="C495" s="527"/>
      <c r="E495" s="484"/>
      <c r="F495" s="651"/>
      <c r="G495" s="567"/>
    </row>
    <row r="496">
      <c r="B496" s="631"/>
      <c r="C496" s="527"/>
      <c r="E496" s="484"/>
      <c r="F496" s="651"/>
      <c r="G496" s="567"/>
    </row>
    <row r="497">
      <c r="B497" s="631"/>
      <c r="C497" s="527"/>
      <c r="E497" s="484"/>
      <c r="F497" s="651"/>
      <c r="G497" s="567"/>
    </row>
    <row r="498">
      <c r="B498" s="631"/>
      <c r="C498" s="527"/>
      <c r="E498" s="484"/>
      <c r="F498" s="651"/>
      <c r="G498" s="567"/>
    </row>
    <row r="499">
      <c r="B499" s="631"/>
      <c r="C499" s="527"/>
      <c r="E499" s="484"/>
      <c r="F499" s="651"/>
      <c r="G499" s="567"/>
    </row>
    <row r="500">
      <c r="B500" s="631"/>
      <c r="C500" s="527"/>
      <c r="E500" s="484"/>
      <c r="F500" s="651"/>
      <c r="G500" s="567"/>
    </row>
    <row r="501">
      <c r="B501" s="631"/>
      <c r="C501" s="527"/>
      <c r="E501" s="484"/>
      <c r="F501" s="651"/>
      <c r="G501" s="567"/>
    </row>
    <row r="502">
      <c r="B502" s="631"/>
      <c r="C502" s="527"/>
      <c r="E502" s="484"/>
      <c r="F502" s="651"/>
      <c r="G502" s="567"/>
    </row>
    <row r="503">
      <c r="B503" s="631"/>
      <c r="C503" s="527"/>
      <c r="E503" s="484"/>
      <c r="F503" s="651"/>
      <c r="G503" s="567"/>
    </row>
    <row r="504">
      <c r="B504" s="631"/>
      <c r="C504" s="527"/>
      <c r="E504" s="484"/>
      <c r="F504" s="651"/>
      <c r="G504" s="567"/>
    </row>
    <row r="505">
      <c r="B505" s="631"/>
      <c r="C505" s="527"/>
      <c r="E505" s="484"/>
      <c r="F505" s="651"/>
      <c r="G505" s="567"/>
    </row>
    <row r="506">
      <c r="B506" s="631"/>
      <c r="C506" s="527"/>
      <c r="E506" s="484"/>
      <c r="F506" s="651"/>
      <c r="G506" s="567"/>
    </row>
    <row r="507">
      <c r="B507" s="631"/>
      <c r="C507" s="527"/>
      <c r="E507" s="484"/>
      <c r="F507" s="651"/>
      <c r="G507" s="567"/>
    </row>
    <row r="508">
      <c r="B508" s="631"/>
      <c r="C508" s="527"/>
      <c r="E508" s="484"/>
      <c r="F508" s="651"/>
      <c r="G508" s="567"/>
    </row>
    <row r="509">
      <c r="B509" s="631"/>
      <c r="C509" s="527"/>
      <c r="E509" s="484"/>
      <c r="F509" s="651"/>
      <c r="G509" s="567"/>
    </row>
    <row r="510">
      <c r="B510" s="631"/>
      <c r="C510" s="527"/>
      <c r="E510" s="484"/>
      <c r="F510" s="651"/>
      <c r="G510" s="567"/>
    </row>
    <row r="511">
      <c r="B511" s="631"/>
      <c r="C511" s="527"/>
      <c r="E511" s="484"/>
      <c r="F511" s="651"/>
      <c r="G511" s="567"/>
    </row>
    <row r="512">
      <c r="B512" s="631"/>
      <c r="C512" s="527"/>
      <c r="E512" s="484"/>
      <c r="F512" s="651"/>
      <c r="G512" s="567"/>
    </row>
    <row r="513">
      <c r="B513" s="631"/>
      <c r="C513" s="527"/>
      <c r="E513" s="484"/>
      <c r="F513" s="651"/>
      <c r="G513" s="567"/>
    </row>
    <row r="514">
      <c r="B514" s="631"/>
      <c r="C514" s="527"/>
      <c r="E514" s="484"/>
      <c r="F514" s="651"/>
      <c r="G514" s="567"/>
    </row>
    <row r="515">
      <c r="B515" s="631"/>
      <c r="C515" s="527"/>
      <c r="E515" s="484"/>
      <c r="F515" s="651"/>
      <c r="G515" s="567"/>
    </row>
    <row r="516">
      <c r="B516" s="631"/>
      <c r="C516" s="527"/>
      <c r="E516" s="484"/>
      <c r="F516" s="651"/>
      <c r="G516" s="567"/>
    </row>
    <row r="517">
      <c r="B517" s="631"/>
      <c r="C517" s="527"/>
      <c r="E517" s="484"/>
      <c r="F517" s="651"/>
      <c r="G517" s="567"/>
    </row>
    <row r="518">
      <c r="B518" s="631"/>
      <c r="C518" s="527"/>
      <c r="E518" s="484"/>
      <c r="F518" s="651"/>
      <c r="G518" s="567"/>
    </row>
    <row r="519">
      <c r="B519" s="631"/>
      <c r="C519" s="527"/>
      <c r="E519" s="484"/>
      <c r="F519" s="651"/>
      <c r="G519" s="567"/>
    </row>
    <row r="520">
      <c r="B520" s="631"/>
      <c r="C520" s="527"/>
      <c r="E520" s="484"/>
      <c r="F520" s="651"/>
      <c r="G520" s="567"/>
    </row>
    <row r="521">
      <c r="B521" s="631"/>
      <c r="C521" s="527"/>
      <c r="E521" s="484"/>
      <c r="F521" s="651"/>
      <c r="G521" s="567"/>
    </row>
    <row r="522">
      <c r="B522" s="631"/>
      <c r="C522" s="527"/>
      <c r="E522" s="484"/>
      <c r="F522" s="651"/>
      <c r="G522" s="567"/>
    </row>
    <row r="523">
      <c r="B523" s="631"/>
      <c r="C523" s="527"/>
      <c r="E523" s="484"/>
      <c r="F523" s="651"/>
      <c r="G523" s="567"/>
    </row>
    <row r="524">
      <c r="B524" s="631"/>
      <c r="C524" s="527"/>
      <c r="E524" s="484"/>
      <c r="F524" s="651"/>
      <c r="G524" s="567"/>
    </row>
    <row r="525">
      <c r="B525" s="631"/>
      <c r="C525" s="527"/>
      <c r="E525" s="484"/>
      <c r="F525" s="651"/>
      <c r="G525" s="567"/>
    </row>
    <row r="526">
      <c r="B526" s="631"/>
      <c r="C526" s="527"/>
      <c r="E526" s="484"/>
      <c r="F526" s="651"/>
      <c r="G526" s="567"/>
    </row>
    <row r="527">
      <c r="B527" s="631"/>
      <c r="C527" s="527"/>
      <c r="E527" s="484"/>
      <c r="F527" s="651"/>
      <c r="G527" s="567"/>
    </row>
    <row r="528">
      <c r="B528" s="631"/>
      <c r="C528" s="527"/>
      <c r="E528" s="484"/>
      <c r="F528" s="651"/>
      <c r="G528" s="567"/>
    </row>
    <row r="529">
      <c r="B529" s="631"/>
      <c r="C529" s="527"/>
      <c r="E529" s="484"/>
      <c r="F529" s="651"/>
      <c r="G529" s="567"/>
    </row>
    <row r="530">
      <c r="B530" s="631"/>
      <c r="C530" s="527"/>
      <c r="E530" s="484"/>
      <c r="F530" s="651"/>
      <c r="G530" s="567"/>
    </row>
    <row r="531">
      <c r="B531" s="631"/>
      <c r="C531" s="527"/>
      <c r="E531" s="484"/>
      <c r="F531" s="651"/>
      <c r="G531" s="567"/>
    </row>
    <row r="532">
      <c r="B532" s="631"/>
      <c r="C532" s="527"/>
      <c r="E532" s="484"/>
      <c r="F532" s="651"/>
      <c r="G532" s="567"/>
    </row>
    <row r="533">
      <c r="B533" s="631"/>
      <c r="C533" s="527"/>
      <c r="E533" s="484"/>
      <c r="F533" s="651"/>
      <c r="G533" s="567"/>
    </row>
    <row r="534">
      <c r="B534" s="631"/>
      <c r="C534" s="527"/>
      <c r="E534" s="484"/>
      <c r="F534" s="651"/>
      <c r="G534" s="567"/>
    </row>
    <row r="535">
      <c r="B535" s="631"/>
      <c r="C535" s="527"/>
      <c r="E535" s="484"/>
      <c r="F535" s="651"/>
      <c r="G535" s="567"/>
    </row>
    <row r="536">
      <c r="B536" s="631"/>
      <c r="C536" s="527"/>
      <c r="E536" s="484"/>
      <c r="F536" s="651"/>
      <c r="G536" s="567"/>
    </row>
    <row r="537">
      <c r="B537" s="631"/>
      <c r="C537" s="527"/>
      <c r="E537" s="484"/>
      <c r="F537" s="651"/>
      <c r="G537" s="567"/>
    </row>
    <row r="538">
      <c r="B538" s="631"/>
      <c r="C538" s="527"/>
      <c r="E538" s="484"/>
      <c r="F538" s="651"/>
      <c r="G538" s="567"/>
    </row>
    <row r="539">
      <c r="B539" s="631"/>
      <c r="C539" s="527"/>
      <c r="E539" s="484"/>
      <c r="F539" s="651"/>
      <c r="G539" s="567"/>
    </row>
    <row r="540">
      <c r="B540" s="631"/>
      <c r="C540" s="527"/>
      <c r="E540" s="484"/>
      <c r="F540" s="651"/>
      <c r="G540" s="567"/>
    </row>
    <row r="541">
      <c r="B541" s="631"/>
      <c r="C541" s="527"/>
      <c r="E541" s="484"/>
      <c r="F541" s="651"/>
      <c r="G541" s="567"/>
    </row>
    <row r="542">
      <c r="B542" s="631"/>
      <c r="C542" s="527"/>
      <c r="E542" s="484"/>
      <c r="F542" s="651"/>
      <c r="G542" s="567"/>
    </row>
    <row r="543">
      <c r="B543" s="631"/>
      <c r="C543" s="527"/>
      <c r="E543" s="484"/>
      <c r="F543" s="651"/>
      <c r="G543" s="567"/>
    </row>
    <row r="544">
      <c r="B544" s="631"/>
      <c r="C544" s="527"/>
      <c r="E544" s="484"/>
      <c r="F544" s="651"/>
      <c r="G544" s="567"/>
    </row>
    <row r="545">
      <c r="B545" s="631"/>
      <c r="C545" s="527"/>
      <c r="E545" s="484"/>
      <c r="F545" s="651"/>
      <c r="G545" s="567"/>
    </row>
    <row r="546">
      <c r="B546" s="631"/>
      <c r="C546" s="527"/>
      <c r="E546" s="484"/>
      <c r="F546" s="651"/>
      <c r="G546" s="567"/>
    </row>
    <row r="547">
      <c r="B547" s="631"/>
      <c r="C547" s="527"/>
      <c r="E547" s="484"/>
      <c r="F547" s="651"/>
      <c r="G547" s="567"/>
    </row>
    <row r="548">
      <c r="B548" s="631"/>
      <c r="C548" s="527"/>
      <c r="E548" s="484"/>
      <c r="F548" s="651"/>
      <c r="G548" s="567"/>
    </row>
    <row r="549">
      <c r="B549" s="631"/>
      <c r="C549" s="527"/>
      <c r="E549" s="484"/>
      <c r="F549" s="651"/>
      <c r="G549" s="567"/>
    </row>
    <row r="550">
      <c r="B550" s="631"/>
      <c r="C550" s="527"/>
      <c r="E550" s="484"/>
      <c r="F550" s="651"/>
      <c r="G550" s="567"/>
    </row>
    <row r="551">
      <c r="B551" s="631"/>
      <c r="C551" s="527"/>
      <c r="E551" s="484"/>
      <c r="F551" s="651"/>
      <c r="G551" s="567"/>
    </row>
    <row r="552">
      <c r="B552" s="631"/>
      <c r="C552" s="527"/>
      <c r="E552" s="484"/>
      <c r="F552" s="651"/>
      <c r="G552" s="567"/>
    </row>
    <row r="553">
      <c r="B553" s="631"/>
      <c r="C553" s="527"/>
      <c r="E553" s="484"/>
      <c r="F553" s="651"/>
      <c r="G553" s="567"/>
    </row>
    <row r="554">
      <c r="B554" s="631"/>
      <c r="C554" s="527"/>
      <c r="E554" s="484"/>
      <c r="F554" s="651"/>
      <c r="G554" s="567"/>
    </row>
    <row r="555">
      <c r="B555" s="631"/>
      <c r="C555" s="527"/>
      <c r="E555" s="484"/>
      <c r="F555" s="651"/>
      <c r="G555" s="567"/>
    </row>
    <row r="556">
      <c r="B556" s="631"/>
      <c r="C556" s="527"/>
      <c r="E556" s="484"/>
      <c r="F556" s="651"/>
      <c r="G556" s="567"/>
    </row>
    <row r="557">
      <c r="B557" s="631"/>
      <c r="C557" s="527"/>
      <c r="E557" s="484"/>
      <c r="F557" s="651"/>
      <c r="G557" s="567"/>
    </row>
    <row r="558">
      <c r="B558" s="631"/>
      <c r="C558" s="527"/>
      <c r="E558" s="484"/>
      <c r="F558" s="651"/>
      <c r="G558" s="567"/>
    </row>
    <row r="559">
      <c r="B559" s="631"/>
      <c r="C559" s="527"/>
      <c r="E559" s="484"/>
      <c r="F559" s="651"/>
      <c r="G559" s="567"/>
    </row>
    <row r="560">
      <c r="B560" s="631"/>
      <c r="C560" s="527"/>
      <c r="E560" s="484"/>
      <c r="F560" s="651"/>
      <c r="G560" s="567"/>
    </row>
    <row r="561">
      <c r="B561" s="631"/>
      <c r="C561" s="527"/>
      <c r="E561" s="484"/>
      <c r="F561" s="651"/>
      <c r="G561" s="567"/>
    </row>
    <row r="562">
      <c r="B562" s="631"/>
      <c r="C562" s="527"/>
      <c r="E562" s="484"/>
      <c r="F562" s="651"/>
      <c r="G562" s="567"/>
    </row>
    <row r="563">
      <c r="B563" s="631"/>
      <c r="C563" s="527"/>
      <c r="E563" s="484"/>
      <c r="F563" s="651"/>
      <c r="G563" s="567"/>
    </row>
    <row r="564">
      <c r="B564" s="631"/>
      <c r="C564" s="527"/>
      <c r="E564" s="484"/>
      <c r="F564" s="651"/>
      <c r="G564" s="567"/>
    </row>
    <row r="565">
      <c r="B565" s="631"/>
      <c r="C565" s="527"/>
      <c r="E565" s="484"/>
      <c r="F565" s="651"/>
      <c r="G565" s="567"/>
    </row>
    <row r="566">
      <c r="B566" s="631"/>
      <c r="C566" s="527"/>
      <c r="E566" s="484"/>
      <c r="F566" s="651"/>
      <c r="G566" s="567"/>
    </row>
    <row r="567">
      <c r="B567" s="631"/>
      <c r="C567" s="527"/>
      <c r="E567" s="484"/>
      <c r="F567" s="651"/>
      <c r="G567" s="567"/>
    </row>
    <row r="568">
      <c r="B568" s="631"/>
      <c r="C568" s="527"/>
      <c r="E568" s="484"/>
      <c r="F568" s="651"/>
      <c r="G568" s="567"/>
    </row>
    <row r="569">
      <c r="B569" s="631"/>
      <c r="C569" s="527"/>
      <c r="E569" s="484"/>
      <c r="F569" s="651"/>
      <c r="G569" s="567"/>
    </row>
    <row r="570">
      <c r="B570" s="631"/>
      <c r="C570" s="527"/>
      <c r="E570" s="484"/>
      <c r="F570" s="651"/>
      <c r="G570" s="567"/>
    </row>
    <row r="571">
      <c r="B571" s="631"/>
      <c r="C571" s="527"/>
      <c r="E571" s="484"/>
      <c r="F571" s="651"/>
      <c r="G571" s="567"/>
    </row>
    <row r="572">
      <c r="B572" s="631"/>
      <c r="C572" s="527"/>
      <c r="E572" s="484"/>
      <c r="F572" s="651"/>
      <c r="G572" s="567"/>
    </row>
    <row r="573">
      <c r="B573" s="631"/>
      <c r="C573" s="527"/>
      <c r="E573" s="484"/>
      <c r="F573" s="651"/>
      <c r="G573" s="567"/>
    </row>
    <row r="574">
      <c r="B574" s="631"/>
      <c r="C574" s="527"/>
      <c r="E574" s="484"/>
      <c r="F574" s="651"/>
      <c r="G574" s="567"/>
    </row>
    <row r="575">
      <c r="B575" s="631"/>
      <c r="C575" s="527"/>
      <c r="E575" s="484"/>
      <c r="F575" s="651"/>
      <c r="G575" s="567"/>
    </row>
    <row r="576">
      <c r="B576" s="631"/>
      <c r="C576" s="527"/>
      <c r="E576" s="484"/>
      <c r="F576" s="651"/>
      <c r="G576" s="567"/>
    </row>
    <row r="577">
      <c r="B577" s="631"/>
      <c r="C577" s="527"/>
      <c r="E577" s="484"/>
      <c r="F577" s="651"/>
      <c r="G577" s="567"/>
    </row>
    <row r="578">
      <c r="B578" s="631"/>
      <c r="C578" s="527"/>
      <c r="E578" s="484"/>
      <c r="F578" s="651"/>
      <c r="G578" s="567"/>
    </row>
    <row r="579">
      <c r="B579" s="631"/>
      <c r="C579" s="527"/>
      <c r="E579" s="484"/>
      <c r="F579" s="651"/>
      <c r="G579" s="567"/>
    </row>
    <row r="580">
      <c r="B580" s="631"/>
      <c r="C580" s="527"/>
      <c r="E580" s="484"/>
      <c r="F580" s="651"/>
      <c r="G580" s="567"/>
    </row>
    <row r="581">
      <c r="B581" s="631"/>
      <c r="C581" s="527"/>
      <c r="E581" s="484"/>
      <c r="F581" s="651"/>
      <c r="G581" s="567"/>
    </row>
    <row r="582">
      <c r="B582" s="631"/>
      <c r="C582" s="527"/>
      <c r="E582" s="484"/>
      <c r="F582" s="651"/>
      <c r="G582" s="567"/>
    </row>
    <row r="583">
      <c r="B583" s="631"/>
      <c r="C583" s="527"/>
      <c r="E583" s="484"/>
      <c r="F583" s="651"/>
      <c r="G583" s="567"/>
    </row>
    <row r="584">
      <c r="B584" s="631"/>
      <c r="C584" s="527"/>
      <c r="E584" s="484"/>
      <c r="F584" s="651"/>
      <c r="G584" s="567"/>
    </row>
    <row r="585">
      <c r="B585" s="631"/>
      <c r="C585" s="527"/>
      <c r="E585" s="484"/>
      <c r="F585" s="651"/>
      <c r="G585" s="567"/>
    </row>
    <row r="586">
      <c r="B586" s="631"/>
      <c r="C586" s="527"/>
      <c r="E586" s="484"/>
      <c r="F586" s="651"/>
      <c r="G586" s="567"/>
    </row>
    <row r="587">
      <c r="B587" s="631"/>
      <c r="C587" s="527"/>
      <c r="E587" s="484"/>
      <c r="F587" s="651"/>
      <c r="G587" s="567"/>
    </row>
    <row r="588">
      <c r="B588" s="631"/>
      <c r="C588" s="527"/>
      <c r="E588" s="484"/>
      <c r="F588" s="651"/>
      <c r="G588" s="567"/>
    </row>
    <row r="589">
      <c r="B589" s="631"/>
      <c r="C589" s="527"/>
      <c r="E589" s="484"/>
      <c r="F589" s="651"/>
      <c r="G589" s="567"/>
    </row>
    <row r="590">
      <c r="B590" s="631"/>
      <c r="C590" s="527"/>
      <c r="E590" s="484"/>
      <c r="F590" s="651"/>
      <c r="G590" s="567"/>
    </row>
    <row r="591">
      <c r="B591" s="631"/>
      <c r="C591" s="527"/>
      <c r="E591" s="484"/>
      <c r="F591" s="651"/>
      <c r="G591" s="567"/>
    </row>
    <row r="592">
      <c r="B592" s="631"/>
      <c r="C592" s="527"/>
      <c r="E592" s="484"/>
      <c r="F592" s="651"/>
      <c r="G592" s="567"/>
    </row>
    <row r="593">
      <c r="B593" s="631"/>
      <c r="C593" s="527"/>
      <c r="E593" s="484"/>
      <c r="F593" s="651"/>
      <c r="G593" s="567"/>
    </row>
    <row r="594">
      <c r="B594" s="631"/>
      <c r="C594" s="527"/>
      <c r="E594" s="484"/>
      <c r="F594" s="651"/>
      <c r="G594" s="567"/>
    </row>
    <row r="595">
      <c r="B595" s="631"/>
      <c r="C595" s="527"/>
      <c r="E595" s="484"/>
      <c r="F595" s="651"/>
      <c r="G595" s="567"/>
    </row>
    <row r="596">
      <c r="B596" s="631"/>
      <c r="C596" s="527"/>
      <c r="E596" s="484"/>
      <c r="F596" s="651"/>
      <c r="G596" s="567"/>
    </row>
    <row r="597">
      <c r="B597" s="631"/>
      <c r="C597" s="527"/>
      <c r="E597" s="484"/>
      <c r="F597" s="651"/>
      <c r="G597" s="567"/>
    </row>
    <row r="598">
      <c r="B598" s="631"/>
      <c r="C598" s="527"/>
      <c r="E598" s="484"/>
      <c r="F598" s="651"/>
      <c r="G598" s="567"/>
    </row>
    <row r="599">
      <c r="B599" s="631"/>
      <c r="C599" s="527"/>
      <c r="E599" s="484"/>
      <c r="F599" s="651"/>
      <c r="G599" s="567"/>
    </row>
    <row r="600">
      <c r="B600" s="631"/>
      <c r="C600" s="527"/>
      <c r="E600" s="484"/>
      <c r="F600" s="651"/>
      <c r="G600" s="567"/>
    </row>
    <row r="601">
      <c r="B601" s="631"/>
      <c r="C601" s="527"/>
      <c r="E601" s="484"/>
      <c r="F601" s="651"/>
      <c r="G601" s="567"/>
    </row>
    <row r="602">
      <c r="B602" s="631"/>
      <c r="C602" s="527"/>
      <c r="E602" s="484"/>
      <c r="F602" s="651"/>
      <c r="G602" s="567"/>
    </row>
    <row r="603">
      <c r="B603" s="631"/>
      <c r="C603" s="527"/>
      <c r="E603" s="484"/>
      <c r="F603" s="651"/>
      <c r="G603" s="567"/>
    </row>
    <row r="604">
      <c r="B604" s="631"/>
      <c r="C604" s="527"/>
      <c r="E604" s="484"/>
      <c r="F604" s="651"/>
      <c r="G604" s="567"/>
    </row>
    <row r="605">
      <c r="B605" s="631"/>
      <c r="C605" s="527"/>
      <c r="E605" s="484"/>
      <c r="F605" s="651"/>
      <c r="G605" s="567"/>
    </row>
    <row r="606">
      <c r="B606" s="631"/>
      <c r="C606" s="527"/>
      <c r="E606" s="484"/>
      <c r="F606" s="651"/>
      <c r="G606" s="567"/>
    </row>
    <row r="607">
      <c r="B607" s="631"/>
      <c r="C607" s="527"/>
      <c r="E607" s="484"/>
      <c r="F607" s="651"/>
      <c r="G607" s="567"/>
    </row>
    <row r="608">
      <c r="B608" s="631"/>
      <c r="C608" s="527"/>
      <c r="E608" s="484"/>
      <c r="F608" s="651"/>
      <c r="G608" s="567"/>
    </row>
    <row r="609">
      <c r="B609" s="631"/>
      <c r="C609" s="527"/>
      <c r="E609" s="484"/>
      <c r="F609" s="651"/>
      <c r="G609" s="567"/>
    </row>
    <row r="610">
      <c r="B610" s="631"/>
      <c r="C610" s="527"/>
      <c r="E610" s="484"/>
      <c r="F610" s="651"/>
      <c r="G610" s="567"/>
    </row>
    <row r="611">
      <c r="B611" s="631"/>
      <c r="C611" s="527"/>
      <c r="E611" s="484"/>
      <c r="F611" s="651"/>
      <c r="G611" s="567"/>
    </row>
    <row r="612">
      <c r="B612" s="631"/>
      <c r="C612" s="527"/>
      <c r="E612" s="484"/>
      <c r="F612" s="651"/>
      <c r="G612" s="567"/>
    </row>
    <row r="613">
      <c r="B613" s="631"/>
      <c r="C613" s="527"/>
      <c r="E613" s="484"/>
      <c r="F613" s="651"/>
      <c r="G613" s="567"/>
    </row>
    <row r="614">
      <c r="B614" s="631"/>
      <c r="C614" s="527"/>
      <c r="E614" s="484"/>
      <c r="F614" s="651"/>
      <c r="G614" s="567"/>
    </row>
    <row r="615">
      <c r="B615" s="631"/>
      <c r="C615" s="527"/>
      <c r="E615" s="484"/>
      <c r="F615" s="651"/>
      <c r="G615" s="567"/>
    </row>
    <row r="616">
      <c r="B616" s="631"/>
      <c r="C616" s="527"/>
      <c r="E616" s="484"/>
      <c r="F616" s="651"/>
      <c r="G616" s="567"/>
    </row>
    <row r="617">
      <c r="B617" s="631"/>
      <c r="C617" s="527"/>
      <c r="E617" s="484"/>
      <c r="F617" s="651"/>
      <c r="G617" s="567"/>
    </row>
    <row r="618">
      <c r="B618" s="631"/>
      <c r="C618" s="527"/>
      <c r="E618" s="484"/>
      <c r="F618" s="651"/>
      <c r="G618" s="567"/>
    </row>
    <row r="619">
      <c r="B619" s="631"/>
      <c r="C619" s="527"/>
      <c r="E619" s="484"/>
      <c r="F619" s="651"/>
      <c r="G619" s="567"/>
    </row>
    <row r="620">
      <c r="B620" s="631"/>
      <c r="C620" s="527"/>
      <c r="E620" s="484"/>
      <c r="F620" s="651"/>
      <c r="G620" s="567"/>
    </row>
    <row r="621">
      <c r="B621" s="631"/>
      <c r="C621" s="527"/>
      <c r="E621" s="484"/>
      <c r="F621" s="651"/>
      <c r="G621" s="567"/>
    </row>
    <row r="622">
      <c r="B622" s="631"/>
      <c r="C622" s="527"/>
      <c r="E622" s="484"/>
      <c r="F622" s="651"/>
      <c r="G622" s="567"/>
    </row>
    <row r="623">
      <c r="B623" s="631"/>
      <c r="C623" s="527"/>
      <c r="E623" s="484"/>
      <c r="F623" s="651"/>
      <c r="G623" s="567"/>
    </row>
    <row r="624">
      <c r="B624" s="631"/>
      <c r="C624" s="527"/>
      <c r="E624" s="484"/>
      <c r="F624" s="651"/>
      <c r="G624" s="567"/>
    </row>
    <row r="625">
      <c r="B625" s="631"/>
      <c r="C625" s="527"/>
      <c r="E625" s="484"/>
      <c r="F625" s="651"/>
      <c r="G625" s="567"/>
    </row>
    <row r="626">
      <c r="B626" s="631"/>
      <c r="C626" s="527"/>
      <c r="E626" s="484"/>
      <c r="F626" s="651"/>
      <c r="G626" s="567"/>
    </row>
    <row r="627">
      <c r="B627" s="631"/>
      <c r="C627" s="527"/>
      <c r="E627" s="484"/>
      <c r="F627" s="651"/>
      <c r="G627" s="567"/>
    </row>
    <row r="628">
      <c r="B628" s="631"/>
      <c r="C628" s="527"/>
      <c r="E628" s="484"/>
      <c r="F628" s="651"/>
      <c r="G628" s="567"/>
    </row>
    <row r="629">
      <c r="B629" s="631"/>
      <c r="C629" s="527"/>
      <c r="E629" s="484"/>
      <c r="F629" s="651"/>
      <c r="G629" s="567"/>
    </row>
    <row r="630">
      <c r="B630" s="631"/>
      <c r="C630" s="527"/>
      <c r="E630" s="484"/>
      <c r="F630" s="651"/>
      <c r="G630" s="567"/>
    </row>
    <row r="631">
      <c r="B631" s="631"/>
      <c r="C631" s="527"/>
      <c r="E631" s="484"/>
      <c r="F631" s="651"/>
      <c r="G631" s="567"/>
    </row>
    <row r="632">
      <c r="B632" s="631"/>
      <c r="C632" s="527"/>
      <c r="E632" s="484"/>
      <c r="F632" s="651"/>
      <c r="G632" s="567"/>
    </row>
    <row r="633">
      <c r="B633" s="631"/>
      <c r="C633" s="527"/>
      <c r="E633" s="484"/>
      <c r="F633" s="651"/>
      <c r="G633" s="567"/>
    </row>
    <row r="634">
      <c r="B634" s="631"/>
      <c r="C634" s="527"/>
      <c r="E634" s="484"/>
      <c r="F634" s="651"/>
      <c r="G634" s="567"/>
    </row>
    <row r="635">
      <c r="B635" s="631"/>
      <c r="C635" s="527"/>
      <c r="E635" s="484"/>
      <c r="F635" s="651"/>
      <c r="G635" s="567"/>
    </row>
    <row r="636">
      <c r="B636" s="631"/>
      <c r="C636" s="527"/>
      <c r="E636" s="484"/>
      <c r="F636" s="651"/>
      <c r="G636" s="567"/>
    </row>
    <row r="637">
      <c r="B637" s="631"/>
      <c r="C637" s="527"/>
      <c r="E637" s="484"/>
      <c r="F637" s="651"/>
      <c r="G637" s="567"/>
    </row>
    <row r="638">
      <c r="B638" s="631"/>
      <c r="C638" s="527"/>
      <c r="E638" s="484"/>
      <c r="F638" s="651"/>
      <c r="G638" s="567"/>
    </row>
    <row r="639">
      <c r="B639" s="631"/>
      <c r="C639" s="527"/>
      <c r="E639" s="484"/>
      <c r="F639" s="651"/>
      <c r="G639" s="567"/>
    </row>
    <row r="640">
      <c r="B640" s="631"/>
      <c r="C640" s="527"/>
      <c r="E640" s="484"/>
      <c r="F640" s="651"/>
      <c r="G640" s="567"/>
    </row>
    <row r="641">
      <c r="B641" s="631"/>
      <c r="C641" s="527"/>
      <c r="E641" s="484"/>
      <c r="F641" s="651"/>
      <c r="G641" s="567"/>
    </row>
    <row r="642">
      <c r="B642" s="631"/>
      <c r="C642" s="527"/>
      <c r="E642" s="484"/>
      <c r="F642" s="651"/>
      <c r="G642" s="567"/>
    </row>
    <row r="643">
      <c r="B643" s="631"/>
      <c r="C643" s="527"/>
      <c r="E643" s="484"/>
      <c r="F643" s="651"/>
      <c r="G643" s="567"/>
    </row>
    <row r="644">
      <c r="B644" s="631"/>
      <c r="C644" s="527"/>
      <c r="E644" s="484"/>
      <c r="F644" s="651"/>
      <c r="G644" s="567"/>
    </row>
    <row r="645">
      <c r="B645" s="631"/>
      <c r="C645" s="527"/>
      <c r="E645" s="484"/>
      <c r="F645" s="651"/>
      <c r="G645" s="567"/>
    </row>
    <row r="646">
      <c r="B646" s="631"/>
      <c r="C646" s="527"/>
      <c r="E646" s="484"/>
      <c r="F646" s="651"/>
      <c r="G646" s="567"/>
    </row>
    <row r="647">
      <c r="B647" s="631"/>
      <c r="C647" s="527"/>
      <c r="E647" s="484"/>
      <c r="F647" s="651"/>
      <c r="G647" s="567"/>
    </row>
    <row r="648">
      <c r="B648" s="631"/>
      <c r="C648" s="527"/>
      <c r="E648" s="484"/>
      <c r="F648" s="651"/>
      <c r="G648" s="567"/>
    </row>
    <row r="649">
      <c r="B649" s="631"/>
      <c r="C649" s="527"/>
      <c r="E649" s="484"/>
      <c r="F649" s="651"/>
      <c r="G649" s="567"/>
    </row>
    <row r="650">
      <c r="B650" s="631"/>
      <c r="C650" s="527"/>
      <c r="E650" s="484"/>
      <c r="F650" s="651"/>
      <c r="G650" s="567"/>
    </row>
    <row r="651">
      <c r="B651" s="631"/>
      <c r="C651" s="527"/>
      <c r="E651" s="484"/>
      <c r="F651" s="651"/>
      <c r="G651" s="567"/>
    </row>
    <row r="652">
      <c r="B652" s="631"/>
      <c r="C652" s="527"/>
      <c r="E652" s="484"/>
      <c r="F652" s="651"/>
      <c r="G652" s="567"/>
    </row>
    <row r="653">
      <c r="B653" s="631"/>
      <c r="C653" s="527"/>
      <c r="E653" s="484"/>
      <c r="F653" s="651"/>
      <c r="G653" s="567"/>
    </row>
    <row r="654">
      <c r="B654" s="631"/>
      <c r="C654" s="527"/>
      <c r="E654" s="484"/>
      <c r="F654" s="651"/>
      <c r="G654" s="567"/>
    </row>
    <row r="655">
      <c r="B655" s="631"/>
      <c r="C655" s="527"/>
      <c r="E655" s="484"/>
      <c r="F655" s="651"/>
      <c r="G655" s="567"/>
    </row>
    <row r="656">
      <c r="B656" s="631"/>
      <c r="C656" s="527"/>
      <c r="E656" s="484"/>
      <c r="F656" s="651"/>
      <c r="G656" s="567"/>
    </row>
    <row r="657">
      <c r="B657" s="631"/>
      <c r="C657" s="527"/>
      <c r="E657" s="484"/>
      <c r="F657" s="651"/>
      <c r="G657" s="567"/>
    </row>
    <row r="658">
      <c r="B658" s="631"/>
      <c r="C658" s="527"/>
      <c r="E658" s="484"/>
      <c r="F658" s="651"/>
      <c r="G658" s="567"/>
    </row>
    <row r="659">
      <c r="B659" s="631"/>
      <c r="C659" s="527"/>
      <c r="E659" s="484"/>
      <c r="F659" s="651"/>
      <c r="G659" s="567"/>
    </row>
    <row r="660">
      <c r="B660" s="631"/>
      <c r="C660" s="527"/>
      <c r="E660" s="484"/>
      <c r="F660" s="651"/>
      <c r="G660" s="567"/>
    </row>
    <row r="661">
      <c r="B661" s="631"/>
      <c r="C661" s="527"/>
      <c r="E661" s="484"/>
      <c r="F661" s="651"/>
      <c r="G661" s="567"/>
    </row>
    <row r="662">
      <c r="B662" s="631"/>
      <c r="C662" s="527"/>
      <c r="E662" s="484"/>
      <c r="F662" s="651"/>
      <c r="G662" s="567"/>
    </row>
    <row r="663">
      <c r="B663" s="631"/>
      <c r="C663" s="527"/>
      <c r="E663" s="484"/>
      <c r="F663" s="651"/>
      <c r="G663" s="567"/>
    </row>
    <row r="664">
      <c r="B664" s="631"/>
      <c r="C664" s="527"/>
      <c r="E664" s="484"/>
      <c r="F664" s="651"/>
      <c r="G664" s="567"/>
    </row>
    <row r="665">
      <c r="B665" s="631"/>
      <c r="C665" s="527"/>
      <c r="E665" s="484"/>
      <c r="F665" s="651"/>
      <c r="G665" s="567"/>
    </row>
    <row r="666">
      <c r="B666" s="631"/>
      <c r="C666" s="527"/>
      <c r="E666" s="484"/>
      <c r="F666" s="651"/>
      <c r="G666" s="567"/>
    </row>
    <row r="667">
      <c r="B667" s="631"/>
      <c r="C667" s="527"/>
      <c r="E667" s="484"/>
      <c r="F667" s="651"/>
      <c r="G667" s="567"/>
    </row>
    <row r="668">
      <c r="B668" s="631"/>
      <c r="C668" s="527"/>
      <c r="E668" s="484"/>
      <c r="F668" s="651"/>
      <c r="G668" s="567"/>
    </row>
    <row r="669">
      <c r="B669" s="631"/>
      <c r="C669" s="527"/>
      <c r="E669" s="484"/>
      <c r="F669" s="651"/>
      <c r="G669" s="567"/>
    </row>
    <row r="670">
      <c r="B670" s="631"/>
      <c r="C670" s="527"/>
      <c r="E670" s="484"/>
      <c r="F670" s="651"/>
      <c r="G670" s="567"/>
    </row>
    <row r="671">
      <c r="B671" s="631"/>
      <c r="C671" s="527"/>
      <c r="E671" s="484"/>
      <c r="F671" s="651"/>
      <c r="G671" s="567"/>
    </row>
    <row r="672">
      <c r="B672" s="631"/>
      <c r="C672" s="527"/>
      <c r="E672" s="484"/>
      <c r="F672" s="651"/>
      <c r="G672" s="567"/>
    </row>
    <row r="673">
      <c r="B673" s="631"/>
      <c r="C673" s="527"/>
      <c r="E673" s="484"/>
      <c r="F673" s="651"/>
      <c r="G673" s="567"/>
    </row>
    <row r="674">
      <c r="B674" s="631"/>
      <c r="C674" s="527"/>
      <c r="E674" s="484"/>
      <c r="F674" s="651"/>
      <c r="G674" s="567"/>
    </row>
    <row r="675">
      <c r="B675" s="631"/>
      <c r="C675" s="527"/>
      <c r="E675" s="484"/>
      <c r="F675" s="651"/>
      <c r="G675" s="567"/>
    </row>
    <row r="676">
      <c r="B676" s="631"/>
      <c r="C676" s="527"/>
      <c r="E676" s="484"/>
      <c r="F676" s="651"/>
      <c r="G676" s="567"/>
    </row>
    <row r="677">
      <c r="B677" s="631"/>
      <c r="C677" s="527"/>
      <c r="E677" s="484"/>
      <c r="F677" s="651"/>
      <c r="G677" s="567"/>
    </row>
    <row r="678">
      <c r="B678" s="631"/>
      <c r="C678" s="527"/>
      <c r="E678" s="484"/>
      <c r="F678" s="651"/>
      <c r="G678" s="567"/>
    </row>
    <row r="679">
      <c r="B679" s="631"/>
      <c r="C679" s="527"/>
      <c r="E679" s="484"/>
      <c r="F679" s="651"/>
      <c r="G679" s="567"/>
    </row>
    <row r="680">
      <c r="B680" s="631"/>
      <c r="C680" s="527"/>
      <c r="E680" s="484"/>
      <c r="F680" s="651"/>
      <c r="G680" s="567"/>
    </row>
    <row r="681">
      <c r="B681" s="631"/>
      <c r="C681" s="527"/>
      <c r="E681" s="484"/>
      <c r="F681" s="651"/>
      <c r="G681" s="567"/>
    </row>
    <row r="682">
      <c r="B682" s="631"/>
      <c r="C682" s="527"/>
      <c r="E682" s="484"/>
      <c r="F682" s="651"/>
      <c r="G682" s="567"/>
    </row>
    <row r="683">
      <c r="B683" s="631"/>
      <c r="C683" s="527"/>
      <c r="E683" s="484"/>
      <c r="F683" s="651"/>
      <c r="G683" s="567"/>
    </row>
    <row r="684">
      <c r="B684" s="631"/>
      <c r="C684" s="527"/>
      <c r="E684" s="484"/>
      <c r="F684" s="651"/>
      <c r="G684" s="567"/>
    </row>
    <row r="685">
      <c r="B685" s="631"/>
      <c r="C685" s="527"/>
      <c r="E685" s="484"/>
      <c r="F685" s="651"/>
      <c r="G685" s="567"/>
    </row>
    <row r="686">
      <c r="B686" s="631"/>
      <c r="C686" s="527"/>
      <c r="E686" s="484"/>
      <c r="F686" s="651"/>
      <c r="G686" s="567"/>
    </row>
    <row r="687">
      <c r="B687" s="631"/>
      <c r="C687" s="527"/>
      <c r="E687" s="484"/>
      <c r="F687" s="651"/>
      <c r="G687" s="567"/>
    </row>
    <row r="688">
      <c r="B688" s="631"/>
      <c r="C688" s="527"/>
      <c r="E688" s="484"/>
      <c r="F688" s="651"/>
      <c r="G688" s="567"/>
    </row>
    <row r="689">
      <c r="B689" s="631"/>
      <c r="C689" s="527"/>
      <c r="E689" s="484"/>
      <c r="F689" s="651"/>
      <c r="G689" s="567"/>
    </row>
    <row r="690">
      <c r="B690" s="631"/>
      <c r="C690" s="527"/>
      <c r="E690" s="484"/>
      <c r="F690" s="651"/>
      <c r="G690" s="567"/>
    </row>
    <row r="691">
      <c r="B691" s="631"/>
      <c r="C691" s="527"/>
      <c r="E691" s="484"/>
      <c r="F691" s="651"/>
      <c r="G691" s="567"/>
    </row>
    <row r="692">
      <c r="B692" s="631"/>
      <c r="C692" s="527"/>
      <c r="E692" s="484"/>
      <c r="F692" s="651"/>
      <c r="G692" s="567"/>
    </row>
    <row r="693">
      <c r="B693" s="631"/>
      <c r="C693" s="527"/>
      <c r="E693" s="484"/>
      <c r="F693" s="651"/>
      <c r="G693" s="567"/>
    </row>
    <row r="694">
      <c r="B694" s="631"/>
      <c r="C694" s="527"/>
      <c r="E694" s="484"/>
      <c r="F694" s="651"/>
      <c r="G694" s="567"/>
    </row>
    <row r="695">
      <c r="B695" s="631"/>
      <c r="C695" s="527"/>
      <c r="E695" s="484"/>
      <c r="F695" s="651"/>
      <c r="G695" s="567"/>
    </row>
    <row r="696">
      <c r="B696" s="631"/>
      <c r="C696" s="527"/>
      <c r="E696" s="484"/>
      <c r="F696" s="651"/>
      <c r="G696" s="567"/>
    </row>
    <row r="697">
      <c r="B697" s="631"/>
      <c r="C697" s="527"/>
      <c r="E697" s="484"/>
      <c r="F697" s="651"/>
      <c r="G697" s="567"/>
    </row>
    <row r="698">
      <c r="B698" s="631"/>
      <c r="C698" s="527"/>
      <c r="E698" s="484"/>
      <c r="F698" s="651"/>
      <c r="G698" s="567"/>
    </row>
    <row r="699">
      <c r="B699" s="631"/>
      <c r="C699" s="527"/>
      <c r="E699" s="484"/>
      <c r="F699" s="651"/>
      <c r="G699" s="567"/>
    </row>
    <row r="700">
      <c r="B700" s="631"/>
      <c r="C700" s="527"/>
      <c r="E700" s="484"/>
      <c r="F700" s="651"/>
      <c r="G700" s="567"/>
    </row>
    <row r="701">
      <c r="B701" s="631"/>
      <c r="C701" s="527"/>
      <c r="E701" s="484"/>
      <c r="F701" s="651"/>
      <c r="G701" s="567"/>
    </row>
    <row r="702">
      <c r="B702" s="631"/>
      <c r="C702" s="527"/>
      <c r="E702" s="484"/>
      <c r="F702" s="651"/>
      <c r="G702" s="567"/>
    </row>
    <row r="703">
      <c r="B703" s="631"/>
      <c r="C703" s="527"/>
      <c r="E703" s="484"/>
      <c r="F703" s="651"/>
      <c r="G703" s="567"/>
    </row>
    <row r="704">
      <c r="B704" s="631"/>
      <c r="C704" s="527"/>
      <c r="E704" s="484"/>
      <c r="F704" s="651"/>
      <c r="G704" s="567"/>
    </row>
    <row r="705">
      <c r="B705" s="631"/>
      <c r="C705" s="527"/>
      <c r="E705" s="484"/>
      <c r="F705" s="651"/>
      <c r="G705" s="567"/>
    </row>
    <row r="706">
      <c r="B706" s="631"/>
      <c r="C706" s="527"/>
      <c r="E706" s="484"/>
      <c r="F706" s="651"/>
      <c r="G706" s="567"/>
    </row>
    <row r="707">
      <c r="B707" s="631"/>
      <c r="C707" s="527"/>
      <c r="E707" s="484"/>
      <c r="F707" s="651"/>
      <c r="G707" s="567"/>
    </row>
    <row r="708">
      <c r="B708" s="631"/>
      <c r="C708" s="527"/>
      <c r="E708" s="484"/>
      <c r="F708" s="651"/>
      <c r="G708" s="567"/>
    </row>
    <row r="709">
      <c r="B709" s="631"/>
      <c r="C709" s="527"/>
      <c r="E709" s="484"/>
      <c r="F709" s="651"/>
      <c r="G709" s="567"/>
    </row>
    <row r="710">
      <c r="B710" s="631"/>
      <c r="C710" s="527"/>
      <c r="E710" s="484"/>
      <c r="F710" s="651"/>
      <c r="G710" s="567"/>
    </row>
    <row r="711">
      <c r="B711" s="631"/>
      <c r="C711" s="527"/>
      <c r="E711" s="484"/>
      <c r="F711" s="651"/>
      <c r="G711" s="567"/>
    </row>
    <row r="712">
      <c r="B712" s="631"/>
      <c r="C712" s="527"/>
      <c r="E712" s="484"/>
      <c r="F712" s="651"/>
      <c r="G712" s="567"/>
    </row>
    <row r="713">
      <c r="B713" s="631"/>
      <c r="C713" s="527"/>
      <c r="E713" s="484"/>
      <c r="F713" s="651"/>
      <c r="G713" s="567"/>
    </row>
    <row r="714">
      <c r="B714" s="631"/>
      <c r="C714" s="527"/>
      <c r="E714" s="484"/>
      <c r="F714" s="651"/>
      <c r="G714" s="567"/>
    </row>
    <row r="715">
      <c r="B715" s="631"/>
      <c r="C715" s="527"/>
      <c r="E715" s="484"/>
      <c r="F715" s="651"/>
      <c r="G715" s="567"/>
    </row>
    <row r="716">
      <c r="B716" s="631"/>
      <c r="C716" s="527"/>
      <c r="E716" s="484"/>
      <c r="F716" s="651"/>
      <c r="G716" s="567"/>
    </row>
    <row r="717">
      <c r="B717" s="631"/>
      <c r="C717" s="527"/>
      <c r="E717" s="484"/>
      <c r="F717" s="651"/>
      <c r="G717" s="567"/>
    </row>
    <row r="718">
      <c r="B718" s="631"/>
      <c r="C718" s="527"/>
      <c r="E718" s="484"/>
      <c r="F718" s="651"/>
      <c r="G718" s="567"/>
    </row>
    <row r="719">
      <c r="B719" s="631"/>
      <c r="C719" s="527"/>
      <c r="E719" s="484"/>
      <c r="F719" s="651"/>
      <c r="G719" s="567"/>
    </row>
    <row r="720">
      <c r="B720" s="631"/>
      <c r="C720" s="527"/>
      <c r="E720" s="484"/>
      <c r="F720" s="651"/>
      <c r="G720" s="567"/>
    </row>
    <row r="721">
      <c r="B721" s="631"/>
      <c r="C721" s="527"/>
      <c r="E721" s="484"/>
      <c r="F721" s="651"/>
      <c r="G721" s="567"/>
    </row>
    <row r="722">
      <c r="B722" s="631"/>
      <c r="C722" s="527"/>
      <c r="E722" s="484"/>
      <c r="F722" s="651"/>
      <c r="G722" s="567"/>
    </row>
    <row r="723">
      <c r="B723" s="631"/>
      <c r="C723" s="527"/>
      <c r="E723" s="484"/>
      <c r="F723" s="651"/>
      <c r="G723" s="567"/>
    </row>
    <row r="724">
      <c r="B724" s="631"/>
      <c r="C724" s="527"/>
      <c r="E724" s="484"/>
      <c r="F724" s="651"/>
      <c r="G724" s="567"/>
    </row>
    <row r="725">
      <c r="B725" s="631"/>
      <c r="C725" s="527"/>
      <c r="E725" s="484"/>
      <c r="F725" s="651"/>
      <c r="G725" s="567"/>
    </row>
    <row r="726">
      <c r="B726" s="631"/>
      <c r="C726" s="527"/>
      <c r="E726" s="484"/>
      <c r="F726" s="651"/>
      <c r="G726" s="567"/>
    </row>
    <row r="727">
      <c r="B727" s="631"/>
      <c r="C727" s="527"/>
      <c r="E727" s="484"/>
      <c r="F727" s="651"/>
      <c r="G727" s="567"/>
    </row>
    <row r="728">
      <c r="B728" s="631"/>
      <c r="C728" s="527"/>
      <c r="E728" s="484"/>
      <c r="F728" s="651"/>
      <c r="G728" s="567"/>
    </row>
    <row r="729">
      <c r="B729" s="631"/>
      <c r="C729" s="527"/>
      <c r="E729" s="484"/>
      <c r="F729" s="651"/>
      <c r="G729" s="567"/>
    </row>
    <row r="730">
      <c r="B730" s="631"/>
      <c r="C730" s="527"/>
      <c r="E730" s="484"/>
      <c r="F730" s="651"/>
      <c r="G730" s="567"/>
    </row>
    <row r="731">
      <c r="B731" s="631"/>
      <c r="C731" s="527"/>
      <c r="E731" s="484"/>
      <c r="F731" s="651"/>
      <c r="G731" s="567"/>
    </row>
    <row r="732">
      <c r="B732" s="631"/>
      <c r="C732" s="527"/>
      <c r="E732" s="484"/>
      <c r="F732" s="651"/>
      <c r="G732" s="567"/>
    </row>
    <row r="733">
      <c r="B733" s="631"/>
      <c r="C733" s="527"/>
      <c r="E733" s="484"/>
      <c r="F733" s="651"/>
      <c r="G733" s="567"/>
    </row>
    <row r="734">
      <c r="B734" s="631"/>
      <c r="C734" s="527"/>
      <c r="E734" s="484"/>
      <c r="F734" s="651"/>
      <c r="G734" s="567"/>
    </row>
    <row r="735">
      <c r="B735" s="631"/>
      <c r="C735" s="527"/>
      <c r="E735" s="484"/>
      <c r="F735" s="651"/>
      <c r="G735" s="567"/>
    </row>
    <row r="736">
      <c r="B736" s="631"/>
      <c r="C736" s="527"/>
      <c r="E736" s="484"/>
      <c r="F736" s="651"/>
      <c r="G736" s="567"/>
    </row>
    <row r="737">
      <c r="B737" s="631"/>
      <c r="C737" s="527"/>
      <c r="E737" s="484"/>
      <c r="F737" s="651"/>
      <c r="G737" s="567"/>
    </row>
    <row r="738">
      <c r="B738" s="631"/>
      <c r="C738" s="527"/>
      <c r="E738" s="484"/>
      <c r="F738" s="651"/>
      <c r="G738" s="567"/>
    </row>
    <row r="739">
      <c r="B739" s="631"/>
      <c r="C739" s="527"/>
      <c r="E739" s="484"/>
      <c r="F739" s="651"/>
      <c r="G739" s="567"/>
    </row>
    <row r="740">
      <c r="B740" s="631"/>
      <c r="C740" s="527"/>
      <c r="E740" s="484"/>
      <c r="F740" s="651"/>
      <c r="G740" s="567"/>
    </row>
    <row r="741">
      <c r="B741" s="631"/>
      <c r="C741" s="527"/>
      <c r="E741" s="484"/>
      <c r="F741" s="651"/>
      <c r="G741" s="567"/>
    </row>
    <row r="742">
      <c r="B742" s="631"/>
      <c r="C742" s="527"/>
      <c r="E742" s="484"/>
      <c r="F742" s="651"/>
      <c r="G742" s="567"/>
    </row>
    <row r="743">
      <c r="B743" s="631"/>
      <c r="C743" s="527"/>
      <c r="E743" s="484"/>
      <c r="F743" s="651"/>
      <c r="G743" s="567"/>
    </row>
    <row r="744">
      <c r="B744" s="631"/>
      <c r="C744" s="527"/>
      <c r="E744" s="484"/>
      <c r="F744" s="651"/>
      <c r="G744" s="567"/>
    </row>
    <row r="745">
      <c r="B745" s="631"/>
      <c r="C745" s="527"/>
      <c r="E745" s="484"/>
      <c r="F745" s="651"/>
      <c r="G745" s="567"/>
    </row>
    <row r="746">
      <c r="B746" s="631"/>
      <c r="C746" s="527"/>
      <c r="E746" s="484"/>
      <c r="F746" s="651"/>
      <c r="G746" s="567"/>
    </row>
    <row r="747">
      <c r="B747" s="631"/>
      <c r="C747" s="527"/>
      <c r="E747" s="484"/>
      <c r="F747" s="651"/>
      <c r="G747" s="567"/>
    </row>
    <row r="748">
      <c r="B748" s="631"/>
      <c r="C748" s="527"/>
      <c r="E748" s="484"/>
      <c r="F748" s="651"/>
      <c r="G748" s="567"/>
    </row>
    <row r="749">
      <c r="B749" s="631"/>
      <c r="C749" s="527"/>
      <c r="E749" s="484"/>
      <c r="F749" s="651"/>
      <c r="G749" s="567"/>
    </row>
    <row r="750">
      <c r="B750" s="631"/>
      <c r="C750" s="527"/>
      <c r="E750" s="484"/>
      <c r="F750" s="651"/>
      <c r="G750" s="567"/>
    </row>
    <row r="751">
      <c r="B751" s="631"/>
      <c r="C751" s="527"/>
      <c r="E751" s="484"/>
      <c r="F751" s="651"/>
      <c r="G751" s="567"/>
    </row>
    <row r="752">
      <c r="B752" s="631"/>
      <c r="C752" s="527"/>
      <c r="E752" s="484"/>
      <c r="F752" s="651"/>
      <c r="G752" s="567"/>
    </row>
    <row r="753">
      <c r="B753" s="631"/>
      <c r="C753" s="527"/>
      <c r="E753" s="484"/>
      <c r="F753" s="651"/>
      <c r="G753" s="567"/>
    </row>
    <row r="754">
      <c r="B754" s="631"/>
      <c r="C754" s="527"/>
      <c r="E754" s="484"/>
      <c r="F754" s="651"/>
      <c r="G754" s="567"/>
    </row>
    <row r="755">
      <c r="B755" s="631"/>
      <c r="C755" s="527"/>
      <c r="E755" s="484"/>
      <c r="F755" s="651"/>
      <c r="G755" s="567"/>
    </row>
    <row r="756">
      <c r="B756" s="631"/>
      <c r="C756" s="527"/>
      <c r="E756" s="484"/>
      <c r="F756" s="651"/>
      <c r="G756" s="567"/>
    </row>
    <row r="757">
      <c r="B757" s="631"/>
      <c r="C757" s="527"/>
      <c r="E757" s="484"/>
      <c r="F757" s="651"/>
      <c r="G757" s="567"/>
    </row>
    <row r="758">
      <c r="B758" s="631"/>
      <c r="C758" s="527"/>
      <c r="E758" s="484"/>
      <c r="F758" s="651"/>
      <c r="G758" s="567"/>
    </row>
    <row r="759">
      <c r="B759" s="631"/>
      <c r="C759" s="527"/>
      <c r="E759" s="484"/>
      <c r="F759" s="651"/>
      <c r="G759" s="567"/>
    </row>
    <row r="760">
      <c r="B760" s="631"/>
      <c r="C760" s="527"/>
      <c r="E760" s="484"/>
      <c r="F760" s="651"/>
      <c r="G760" s="567"/>
    </row>
    <row r="761">
      <c r="B761" s="631"/>
      <c r="C761" s="527"/>
      <c r="E761" s="484"/>
      <c r="F761" s="651"/>
      <c r="G761" s="567"/>
    </row>
    <row r="762">
      <c r="B762" s="631"/>
      <c r="C762" s="527"/>
      <c r="E762" s="484"/>
      <c r="F762" s="651"/>
      <c r="G762" s="567"/>
    </row>
    <row r="763">
      <c r="B763" s="631"/>
      <c r="C763" s="527"/>
      <c r="E763" s="484"/>
      <c r="F763" s="651"/>
      <c r="G763" s="567"/>
    </row>
    <row r="764">
      <c r="B764" s="631"/>
      <c r="C764" s="527"/>
      <c r="E764" s="484"/>
      <c r="F764" s="651"/>
      <c r="G764" s="567"/>
    </row>
    <row r="765">
      <c r="B765" s="631"/>
      <c r="C765" s="527"/>
      <c r="E765" s="484"/>
      <c r="F765" s="651"/>
      <c r="G765" s="567"/>
    </row>
    <row r="766">
      <c r="B766" s="631"/>
      <c r="C766" s="527"/>
      <c r="E766" s="484"/>
      <c r="F766" s="651"/>
      <c r="G766" s="567"/>
    </row>
    <row r="767">
      <c r="B767" s="631"/>
      <c r="C767" s="527"/>
      <c r="E767" s="484"/>
      <c r="F767" s="651"/>
      <c r="G767" s="567"/>
    </row>
    <row r="768">
      <c r="B768" s="631"/>
      <c r="C768" s="527"/>
      <c r="E768" s="484"/>
      <c r="F768" s="651"/>
      <c r="G768" s="567"/>
    </row>
    <row r="769">
      <c r="B769" s="631"/>
      <c r="C769" s="527"/>
      <c r="E769" s="484"/>
      <c r="F769" s="651"/>
      <c r="G769" s="567"/>
    </row>
    <row r="770">
      <c r="B770" s="631"/>
      <c r="C770" s="527"/>
      <c r="E770" s="484"/>
      <c r="F770" s="651"/>
      <c r="G770" s="567"/>
    </row>
    <row r="771">
      <c r="B771" s="631"/>
      <c r="C771" s="527"/>
      <c r="E771" s="484"/>
      <c r="F771" s="651"/>
      <c r="G771" s="567"/>
    </row>
    <row r="772">
      <c r="B772" s="631"/>
      <c r="C772" s="527"/>
      <c r="E772" s="484"/>
      <c r="F772" s="651"/>
      <c r="G772" s="567"/>
    </row>
    <row r="773">
      <c r="B773" s="631"/>
      <c r="C773" s="527"/>
      <c r="E773" s="484"/>
      <c r="F773" s="651"/>
      <c r="G773" s="567"/>
    </row>
    <row r="774">
      <c r="B774" s="631"/>
      <c r="C774" s="527"/>
      <c r="E774" s="484"/>
      <c r="F774" s="651"/>
      <c r="G774" s="567"/>
    </row>
    <row r="775">
      <c r="B775" s="631"/>
      <c r="C775" s="527"/>
      <c r="E775" s="484"/>
      <c r="F775" s="651"/>
      <c r="G775" s="567"/>
    </row>
    <row r="776">
      <c r="B776" s="631"/>
      <c r="C776" s="527"/>
      <c r="E776" s="484"/>
      <c r="F776" s="651"/>
      <c r="G776" s="567"/>
    </row>
    <row r="777">
      <c r="B777" s="631"/>
      <c r="C777" s="527"/>
      <c r="E777" s="484"/>
      <c r="F777" s="651"/>
      <c r="G777" s="567"/>
    </row>
    <row r="778">
      <c r="B778" s="631"/>
      <c r="C778" s="527"/>
      <c r="E778" s="484"/>
      <c r="F778" s="651"/>
      <c r="G778" s="567"/>
    </row>
    <row r="779">
      <c r="B779" s="631"/>
      <c r="C779" s="527"/>
      <c r="E779" s="484"/>
      <c r="F779" s="651"/>
      <c r="G779" s="567"/>
    </row>
    <row r="780">
      <c r="B780" s="631"/>
      <c r="C780" s="527"/>
      <c r="E780" s="484"/>
      <c r="F780" s="651"/>
      <c r="G780" s="567"/>
    </row>
    <row r="781">
      <c r="B781" s="631"/>
      <c r="C781" s="527"/>
      <c r="E781" s="484"/>
      <c r="F781" s="651"/>
      <c r="G781" s="567"/>
    </row>
    <row r="782">
      <c r="B782" s="631"/>
      <c r="C782" s="527"/>
      <c r="E782" s="484"/>
      <c r="F782" s="651"/>
      <c r="G782" s="567"/>
    </row>
    <row r="783">
      <c r="B783" s="631"/>
      <c r="C783" s="527"/>
      <c r="E783" s="484"/>
      <c r="F783" s="651"/>
      <c r="G783" s="567"/>
    </row>
    <row r="784">
      <c r="B784" s="631"/>
      <c r="C784" s="527"/>
      <c r="E784" s="484"/>
      <c r="F784" s="651"/>
      <c r="G784" s="567"/>
    </row>
    <row r="785">
      <c r="B785" s="631"/>
      <c r="C785" s="527"/>
      <c r="E785" s="484"/>
      <c r="F785" s="651"/>
      <c r="G785" s="567"/>
    </row>
    <row r="786">
      <c r="B786" s="631"/>
      <c r="C786" s="527"/>
      <c r="E786" s="484"/>
      <c r="F786" s="651"/>
      <c r="G786" s="567"/>
    </row>
    <row r="787">
      <c r="B787" s="631"/>
      <c r="C787" s="527"/>
      <c r="E787" s="484"/>
      <c r="F787" s="651"/>
      <c r="G787" s="567"/>
    </row>
    <row r="788">
      <c r="B788" s="631"/>
      <c r="C788" s="527"/>
      <c r="E788" s="484"/>
      <c r="F788" s="651"/>
      <c r="G788" s="567"/>
    </row>
    <row r="789">
      <c r="B789" s="631"/>
      <c r="C789" s="527"/>
      <c r="E789" s="484"/>
      <c r="F789" s="651"/>
      <c r="G789" s="567"/>
    </row>
    <row r="790">
      <c r="B790" s="631"/>
      <c r="C790" s="527"/>
      <c r="E790" s="484"/>
      <c r="F790" s="651"/>
      <c r="G790" s="567"/>
    </row>
    <row r="791">
      <c r="B791" s="631"/>
      <c r="C791" s="527"/>
      <c r="E791" s="484"/>
      <c r="F791" s="651"/>
      <c r="G791" s="567"/>
    </row>
    <row r="792">
      <c r="B792" s="631"/>
      <c r="C792" s="527"/>
      <c r="E792" s="484"/>
      <c r="F792" s="651"/>
      <c r="G792" s="567"/>
    </row>
    <row r="793">
      <c r="B793" s="631"/>
      <c r="C793" s="527"/>
      <c r="E793" s="484"/>
      <c r="F793" s="651"/>
      <c r="G793" s="567"/>
    </row>
    <row r="794">
      <c r="B794" s="631"/>
      <c r="C794" s="527"/>
      <c r="E794" s="484"/>
      <c r="F794" s="651"/>
      <c r="G794" s="567"/>
    </row>
    <row r="795">
      <c r="B795" s="631"/>
      <c r="C795" s="527"/>
      <c r="E795" s="484"/>
      <c r="F795" s="651"/>
      <c r="G795" s="567"/>
    </row>
    <row r="796">
      <c r="B796" s="631"/>
      <c r="C796" s="527"/>
      <c r="E796" s="484"/>
      <c r="F796" s="651"/>
      <c r="G796" s="567"/>
    </row>
    <row r="797">
      <c r="B797" s="631"/>
      <c r="C797" s="527"/>
      <c r="E797" s="484"/>
      <c r="F797" s="651"/>
      <c r="G797" s="567"/>
    </row>
    <row r="798">
      <c r="B798" s="631"/>
      <c r="C798" s="527"/>
      <c r="E798" s="484"/>
      <c r="F798" s="651"/>
      <c r="G798" s="567"/>
    </row>
    <row r="799">
      <c r="B799" s="631"/>
      <c r="C799" s="527"/>
      <c r="E799" s="484"/>
      <c r="F799" s="651"/>
      <c r="G799" s="567"/>
    </row>
    <row r="800">
      <c r="B800" s="631"/>
      <c r="C800" s="527"/>
      <c r="E800" s="484"/>
      <c r="F800" s="651"/>
      <c r="G800" s="567"/>
    </row>
    <row r="801">
      <c r="B801" s="631"/>
      <c r="C801" s="527"/>
      <c r="E801" s="484"/>
      <c r="F801" s="651"/>
      <c r="G801" s="567"/>
    </row>
    <row r="802">
      <c r="B802" s="631"/>
      <c r="C802" s="527"/>
      <c r="E802" s="484"/>
      <c r="F802" s="651"/>
      <c r="G802" s="567"/>
    </row>
    <row r="803">
      <c r="B803" s="631"/>
      <c r="C803" s="527"/>
      <c r="E803" s="484"/>
      <c r="F803" s="651"/>
      <c r="G803" s="567"/>
    </row>
    <row r="804">
      <c r="B804" s="631"/>
      <c r="C804" s="527"/>
      <c r="E804" s="484"/>
      <c r="F804" s="651"/>
      <c r="G804" s="567"/>
    </row>
    <row r="805">
      <c r="B805" s="631"/>
      <c r="C805" s="527"/>
      <c r="E805" s="484"/>
      <c r="F805" s="651"/>
      <c r="G805" s="567"/>
    </row>
    <row r="806">
      <c r="B806" s="631"/>
      <c r="C806" s="527"/>
      <c r="E806" s="484"/>
      <c r="F806" s="651"/>
      <c r="G806" s="567"/>
    </row>
    <row r="807">
      <c r="B807" s="631"/>
      <c r="C807" s="527"/>
      <c r="E807" s="484"/>
      <c r="F807" s="651"/>
      <c r="G807" s="567"/>
    </row>
    <row r="808">
      <c r="B808" s="631"/>
      <c r="C808" s="527"/>
      <c r="E808" s="484"/>
      <c r="F808" s="651"/>
      <c r="G808" s="567"/>
    </row>
    <row r="809">
      <c r="B809" s="631"/>
      <c r="C809" s="527"/>
      <c r="E809" s="484"/>
      <c r="F809" s="651"/>
      <c r="G809" s="567"/>
    </row>
    <row r="810">
      <c r="B810" s="631"/>
      <c r="C810" s="527"/>
      <c r="E810" s="484"/>
      <c r="F810" s="651"/>
      <c r="G810" s="567"/>
    </row>
    <row r="811">
      <c r="B811" s="631"/>
      <c r="C811" s="527"/>
      <c r="E811" s="484"/>
      <c r="F811" s="651"/>
      <c r="G811" s="567"/>
    </row>
    <row r="812">
      <c r="B812" s="631"/>
      <c r="C812" s="527"/>
      <c r="E812" s="484"/>
      <c r="F812" s="651"/>
      <c r="G812" s="567"/>
    </row>
    <row r="813">
      <c r="B813" s="631"/>
      <c r="C813" s="527"/>
      <c r="E813" s="484"/>
      <c r="F813" s="651"/>
      <c r="G813" s="567"/>
    </row>
    <row r="814">
      <c r="B814" s="631"/>
      <c r="C814" s="527"/>
      <c r="E814" s="484"/>
      <c r="F814" s="651"/>
      <c r="G814" s="567"/>
    </row>
    <row r="815">
      <c r="B815" s="631"/>
      <c r="C815" s="527"/>
      <c r="E815" s="484"/>
      <c r="F815" s="651"/>
      <c r="G815" s="567"/>
    </row>
    <row r="816">
      <c r="B816" s="631"/>
      <c r="C816" s="527"/>
      <c r="E816" s="484"/>
      <c r="F816" s="651"/>
      <c r="G816" s="567"/>
    </row>
    <row r="817">
      <c r="B817" s="631"/>
      <c r="C817" s="527"/>
      <c r="E817" s="484"/>
      <c r="F817" s="651"/>
      <c r="G817" s="567"/>
    </row>
    <row r="818">
      <c r="B818" s="631"/>
      <c r="C818" s="527"/>
      <c r="E818" s="484"/>
      <c r="F818" s="651"/>
      <c r="G818" s="567"/>
    </row>
    <row r="819">
      <c r="B819" s="631"/>
      <c r="C819" s="527"/>
      <c r="E819" s="484"/>
      <c r="F819" s="651"/>
      <c r="G819" s="567"/>
    </row>
    <row r="820">
      <c r="B820" s="631"/>
      <c r="C820" s="527"/>
      <c r="E820" s="484"/>
      <c r="F820" s="651"/>
      <c r="G820" s="567"/>
    </row>
    <row r="821">
      <c r="B821" s="631"/>
      <c r="C821" s="527"/>
      <c r="E821" s="484"/>
      <c r="F821" s="651"/>
      <c r="G821" s="567"/>
    </row>
    <row r="822">
      <c r="B822" s="631"/>
      <c r="C822" s="527"/>
      <c r="E822" s="484"/>
      <c r="F822" s="651"/>
      <c r="G822" s="567"/>
    </row>
    <row r="823">
      <c r="B823" s="631"/>
      <c r="C823" s="527"/>
      <c r="E823" s="484"/>
      <c r="F823" s="651"/>
      <c r="G823" s="567"/>
    </row>
    <row r="824">
      <c r="B824" s="631"/>
      <c r="C824" s="527"/>
      <c r="E824" s="484"/>
      <c r="F824" s="651"/>
      <c r="G824" s="567"/>
    </row>
    <row r="825">
      <c r="B825" s="631"/>
      <c r="C825" s="527"/>
      <c r="E825" s="484"/>
      <c r="F825" s="651"/>
      <c r="G825" s="567"/>
    </row>
    <row r="826">
      <c r="B826" s="631"/>
      <c r="C826" s="527"/>
      <c r="E826" s="484"/>
      <c r="F826" s="651"/>
      <c r="G826" s="567"/>
    </row>
    <row r="827">
      <c r="B827" s="631"/>
      <c r="C827" s="527"/>
      <c r="E827" s="484"/>
      <c r="F827" s="651"/>
      <c r="G827" s="567"/>
    </row>
    <row r="828">
      <c r="B828" s="631"/>
      <c r="C828" s="527"/>
      <c r="E828" s="484"/>
      <c r="F828" s="651"/>
      <c r="G828" s="567"/>
    </row>
    <row r="829">
      <c r="B829" s="631"/>
      <c r="C829" s="527"/>
      <c r="E829" s="484"/>
      <c r="F829" s="651"/>
      <c r="G829" s="567"/>
    </row>
    <row r="830">
      <c r="B830" s="631"/>
      <c r="C830" s="527"/>
      <c r="E830" s="484"/>
      <c r="F830" s="651"/>
      <c r="G830" s="567"/>
    </row>
    <row r="831">
      <c r="B831" s="631"/>
      <c r="C831" s="527"/>
      <c r="E831" s="484"/>
      <c r="F831" s="651"/>
      <c r="G831" s="567"/>
    </row>
    <row r="832">
      <c r="B832" s="631"/>
      <c r="C832" s="527"/>
      <c r="E832" s="484"/>
      <c r="F832" s="651"/>
      <c r="G832" s="567"/>
    </row>
    <row r="833">
      <c r="B833" s="631"/>
      <c r="C833" s="527"/>
      <c r="E833" s="484"/>
      <c r="F833" s="651"/>
      <c r="G833" s="567"/>
    </row>
    <row r="834">
      <c r="B834" s="631"/>
      <c r="C834" s="527"/>
      <c r="E834" s="484"/>
      <c r="F834" s="651"/>
      <c r="G834" s="567"/>
    </row>
    <row r="835">
      <c r="B835" s="631"/>
      <c r="C835" s="527"/>
      <c r="E835" s="484"/>
      <c r="F835" s="651"/>
      <c r="G835" s="567"/>
    </row>
    <row r="836">
      <c r="B836" s="631"/>
      <c r="C836" s="527"/>
      <c r="E836" s="484"/>
      <c r="F836" s="651"/>
      <c r="G836" s="567"/>
    </row>
    <row r="837">
      <c r="B837" s="631"/>
      <c r="C837" s="527"/>
      <c r="E837" s="484"/>
      <c r="F837" s="651"/>
      <c r="G837" s="567"/>
    </row>
    <row r="838">
      <c r="B838" s="631"/>
      <c r="C838" s="527"/>
      <c r="E838" s="484"/>
      <c r="F838" s="651"/>
      <c r="G838" s="567"/>
    </row>
    <row r="839">
      <c r="B839" s="631"/>
      <c r="C839" s="527"/>
      <c r="E839" s="484"/>
      <c r="F839" s="651"/>
      <c r="G839" s="567"/>
    </row>
    <row r="840">
      <c r="B840" s="631"/>
      <c r="C840" s="527"/>
      <c r="E840" s="484"/>
      <c r="F840" s="651"/>
      <c r="G840" s="567"/>
    </row>
    <row r="841">
      <c r="B841" s="631"/>
      <c r="C841" s="527"/>
      <c r="E841" s="484"/>
      <c r="F841" s="651"/>
      <c r="G841" s="567"/>
    </row>
    <row r="842">
      <c r="B842" s="631"/>
      <c r="C842" s="527"/>
      <c r="E842" s="484"/>
      <c r="F842" s="651"/>
      <c r="G842" s="567"/>
    </row>
    <row r="843">
      <c r="B843" s="631"/>
      <c r="C843" s="527"/>
      <c r="E843" s="484"/>
      <c r="F843" s="651"/>
      <c r="G843" s="567"/>
    </row>
    <row r="844">
      <c r="B844" s="631"/>
      <c r="C844" s="527"/>
      <c r="E844" s="484"/>
      <c r="F844" s="651"/>
      <c r="G844" s="567"/>
    </row>
    <row r="845">
      <c r="B845" s="631"/>
      <c r="C845" s="527"/>
      <c r="E845" s="484"/>
      <c r="F845" s="651"/>
      <c r="G845" s="567"/>
    </row>
    <row r="846">
      <c r="B846" s="631"/>
      <c r="C846" s="527"/>
      <c r="E846" s="484"/>
      <c r="F846" s="651"/>
      <c r="G846" s="567"/>
    </row>
    <row r="847">
      <c r="B847" s="631"/>
      <c r="C847" s="527"/>
      <c r="E847" s="484"/>
      <c r="F847" s="651"/>
      <c r="G847" s="567"/>
    </row>
    <row r="848">
      <c r="B848" s="631"/>
      <c r="C848" s="527"/>
      <c r="E848" s="484"/>
      <c r="F848" s="651"/>
      <c r="G848" s="567"/>
    </row>
    <row r="849">
      <c r="B849" s="631"/>
      <c r="C849" s="527"/>
      <c r="E849" s="484"/>
      <c r="F849" s="651"/>
      <c r="G849" s="567"/>
    </row>
    <row r="850">
      <c r="B850" s="631"/>
      <c r="C850" s="527"/>
      <c r="E850" s="484"/>
      <c r="F850" s="651"/>
      <c r="G850" s="567"/>
    </row>
    <row r="851">
      <c r="B851" s="631"/>
      <c r="C851" s="527"/>
      <c r="E851" s="484"/>
      <c r="F851" s="651"/>
      <c r="G851" s="567"/>
    </row>
    <row r="852">
      <c r="B852" s="631"/>
      <c r="C852" s="527"/>
      <c r="E852" s="484"/>
      <c r="F852" s="651"/>
      <c r="G852" s="567"/>
    </row>
    <row r="853">
      <c r="B853" s="631"/>
      <c r="C853" s="527"/>
      <c r="E853" s="484"/>
      <c r="F853" s="651"/>
      <c r="G853" s="567"/>
    </row>
    <row r="854">
      <c r="B854" s="631"/>
      <c r="C854" s="527"/>
      <c r="E854" s="484"/>
      <c r="F854" s="651"/>
      <c r="G854" s="567"/>
    </row>
    <row r="855">
      <c r="B855" s="631"/>
      <c r="C855" s="527"/>
      <c r="E855" s="484"/>
      <c r="F855" s="651"/>
      <c r="G855" s="567"/>
    </row>
    <row r="856">
      <c r="B856" s="631"/>
      <c r="C856" s="527"/>
      <c r="E856" s="484"/>
      <c r="F856" s="651"/>
      <c r="G856" s="567"/>
    </row>
    <row r="857">
      <c r="B857" s="631"/>
      <c r="C857" s="527"/>
      <c r="E857" s="484"/>
      <c r="F857" s="651"/>
      <c r="G857" s="567"/>
    </row>
    <row r="858">
      <c r="B858" s="631"/>
      <c r="C858" s="527"/>
      <c r="E858" s="484"/>
      <c r="F858" s="651"/>
      <c r="G858" s="567"/>
    </row>
    <row r="859">
      <c r="B859" s="631"/>
      <c r="C859" s="527"/>
      <c r="E859" s="484"/>
      <c r="F859" s="651"/>
      <c r="G859" s="567"/>
    </row>
    <row r="860">
      <c r="B860" s="631"/>
      <c r="C860" s="527"/>
      <c r="E860" s="484"/>
      <c r="F860" s="651"/>
      <c r="G860" s="567"/>
    </row>
    <row r="861">
      <c r="B861" s="631"/>
      <c r="C861" s="527"/>
      <c r="E861" s="484"/>
      <c r="F861" s="651"/>
      <c r="G861" s="567"/>
    </row>
    <row r="862">
      <c r="B862" s="631"/>
      <c r="C862" s="527"/>
      <c r="E862" s="484"/>
      <c r="F862" s="651"/>
      <c r="G862" s="567"/>
    </row>
    <row r="863">
      <c r="B863" s="631"/>
      <c r="C863" s="527"/>
      <c r="E863" s="484"/>
      <c r="F863" s="651"/>
      <c r="G863" s="567"/>
    </row>
    <row r="864">
      <c r="B864" s="631"/>
      <c r="C864" s="527"/>
      <c r="E864" s="484"/>
      <c r="F864" s="651"/>
      <c r="G864" s="567"/>
    </row>
    <row r="865">
      <c r="B865" s="631"/>
      <c r="C865" s="527"/>
      <c r="E865" s="484"/>
      <c r="F865" s="651"/>
      <c r="G865" s="567"/>
    </row>
    <row r="866">
      <c r="B866" s="631"/>
      <c r="C866" s="527"/>
      <c r="E866" s="484"/>
      <c r="F866" s="651"/>
      <c r="G866" s="567"/>
    </row>
    <row r="867">
      <c r="B867" s="631"/>
      <c r="C867" s="527"/>
      <c r="E867" s="484"/>
      <c r="F867" s="651"/>
      <c r="G867" s="567"/>
    </row>
    <row r="868">
      <c r="B868" s="631"/>
      <c r="C868" s="527"/>
      <c r="E868" s="484"/>
      <c r="F868" s="651"/>
      <c r="G868" s="567"/>
    </row>
    <row r="869">
      <c r="B869" s="631"/>
      <c r="C869" s="527"/>
      <c r="E869" s="484"/>
      <c r="F869" s="651"/>
      <c r="G869" s="567"/>
    </row>
    <row r="870">
      <c r="B870" s="631"/>
      <c r="C870" s="527"/>
      <c r="E870" s="484"/>
      <c r="F870" s="651"/>
      <c r="G870" s="567"/>
    </row>
    <row r="871">
      <c r="B871" s="631"/>
      <c r="C871" s="527"/>
      <c r="E871" s="484"/>
      <c r="F871" s="651"/>
      <c r="G871" s="567"/>
    </row>
    <row r="872">
      <c r="B872" s="631"/>
      <c r="C872" s="527"/>
      <c r="E872" s="484"/>
      <c r="F872" s="651"/>
      <c r="G872" s="567"/>
    </row>
    <row r="873">
      <c r="B873" s="631"/>
      <c r="C873" s="527"/>
      <c r="E873" s="484"/>
      <c r="F873" s="651"/>
      <c r="G873" s="567"/>
    </row>
    <row r="874">
      <c r="B874" s="631"/>
      <c r="C874" s="527"/>
      <c r="E874" s="484"/>
      <c r="F874" s="651"/>
      <c r="G874" s="567"/>
    </row>
    <row r="875">
      <c r="B875" s="631"/>
      <c r="C875" s="527"/>
      <c r="E875" s="484"/>
      <c r="F875" s="651"/>
      <c r="G875" s="567"/>
    </row>
    <row r="876">
      <c r="B876" s="631"/>
      <c r="C876" s="527"/>
      <c r="E876" s="484"/>
      <c r="F876" s="651"/>
      <c r="G876" s="567"/>
    </row>
    <row r="877">
      <c r="B877" s="631"/>
      <c r="C877" s="527"/>
      <c r="E877" s="484"/>
      <c r="F877" s="651"/>
      <c r="G877" s="567"/>
    </row>
    <row r="878">
      <c r="B878" s="631"/>
      <c r="C878" s="527"/>
      <c r="E878" s="484"/>
      <c r="F878" s="651"/>
      <c r="G878" s="567"/>
    </row>
    <row r="879">
      <c r="B879" s="631"/>
      <c r="C879" s="527"/>
      <c r="E879" s="484"/>
      <c r="F879" s="651"/>
      <c r="G879" s="567"/>
    </row>
    <row r="880">
      <c r="B880" s="631"/>
      <c r="C880" s="527"/>
      <c r="E880" s="484"/>
      <c r="F880" s="651"/>
      <c r="G880" s="567"/>
    </row>
    <row r="881">
      <c r="B881" s="631"/>
      <c r="C881" s="527"/>
      <c r="E881" s="484"/>
      <c r="F881" s="651"/>
      <c r="G881" s="567"/>
    </row>
    <row r="882">
      <c r="B882" s="631"/>
      <c r="C882" s="527"/>
      <c r="E882" s="484"/>
      <c r="F882" s="651"/>
      <c r="G882" s="567"/>
    </row>
    <row r="883">
      <c r="B883" s="631"/>
      <c r="C883" s="527"/>
      <c r="E883" s="484"/>
      <c r="F883" s="651"/>
      <c r="G883" s="567"/>
    </row>
    <row r="884">
      <c r="B884" s="631"/>
      <c r="C884" s="527"/>
      <c r="E884" s="484"/>
      <c r="F884" s="651"/>
      <c r="G884" s="567"/>
    </row>
    <row r="885">
      <c r="B885" s="631"/>
      <c r="C885" s="527"/>
      <c r="E885" s="484"/>
      <c r="F885" s="651"/>
      <c r="G885" s="567"/>
    </row>
    <row r="886">
      <c r="B886" s="631"/>
      <c r="C886" s="527"/>
      <c r="E886" s="484"/>
      <c r="F886" s="651"/>
      <c r="G886" s="567"/>
    </row>
    <row r="887">
      <c r="B887" s="631"/>
      <c r="C887" s="527"/>
      <c r="E887" s="484"/>
      <c r="F887" s="651"/>
      <c r="G887" s="567"/>
    </row>
    <row r="888">
      <c r="B888" s="631"/>
      <c r="C888" s="527"/>
      <c r="E888" s="484"/>
      <c r="F888" s="651"/>
      <c r="G888" s="567"/>
    </row>
    <row r="889">
      <c r="B889" s="631"/>
      <c r="C889" s="527"/>
      <c r="E889" s="484"/>
      <c r="F889" s="651"/>
      <c r="G889" s="567"/>
    </row>
    <row r="890">
      <c r="B890" s="631"/>
      <c r="C890" s="527"/>
      <c r="E890" s="484"/>
      <c r="F890" s="651"/>
      <c r="G890" s="567"/>
    </row>
    <row r="891">
      <c r="B891" s="631"/>
      <c r="C891" s="527"/>
      <c r="E891" s="484"/>
      <c r="F891" s="651"/>
      <c r="G891" s="567"/>
    </row>
    <row r="892">
      <c r="B892" s="631"/>
      <c r="C892" s="527"/>
      <c r="E892" s="484"/>
      <c r="F892" s="651"/>
      <c r="G892" s="567"/>
    </row>
    <row r="893">
      <c r="B893" s="631"/>
      <c r="C893" s="527"/>
      <c r="E893" s="484"/>
      <c r="F893" s="651"/>
      <c r="G893" s="567"/>
    </row>
    <row r="894">
      <c r="B894" s="631"/>
      <c r="C894" s="527"/>
      <c r="E894" s="484"/>
      <c r="F894" s="651"/>
      <c r="G894" s="567"/>
    </row>
    <row r="895">
      <c r="B895" s="631"/>
      <c r="C895" s="527"/>
      <c r="E895" s="484"/>
      <c r="F895" s="651"/>
      <c r="G895" s="567"/>
    </row>
    <row r="896">
      <c r="B896" s="631"/>
      <c r="C896" s="527"/>
      <c r="E896" s="484"/>
      <c r="F896" s="651"/>
      <c r="G896" s="567"/>
    </row>
    <row r="897">
      <c r="B897" s="631"/>
      <c r="C897" s="527"/>
      <c r="E897" s="484"/>
      <c r="F897" s="651"/>
      <c r="G897" s="567"/>
    </row>
    <row r="898">
      <c r="B898" s="631"/>
      <c r="C898" s="527"/>
      <c r="E898" s="484"/>
      <c r="F898" s="651"/>
      <c r="G898" s="567"/>
    </row>
    <row r="899">
      <c r="B899" s="631"/>
      <c r="C899" s="527"/>
      <c r="E899" s="484"/>
      <c r="F899" s="651"/>
      <c r="G899" s="567"/>
    </row>
    <row r="900">
      <c r="B900" s="631"/>
      <c r="C900" s="527"/>
      <c r="E900" s="484"/>
      <c r="F900" s="651"/>
      <c r="G900" s="567"/>
    </row>
    <row r="901">
      <c r="B901" s="631"/>
      <c r="C901" s="527"/>
      <c r="E901" s="484"/>
      <c r="F901" s="651"/>
      <c r="G901" s="567"/>
    </row>
    <row r="902">
      <c r="B902" s="631"/>
      <c r="C902" s="527"/>
      <c r="E902" s="484"/>
      <c r="F902" s="651"/>
      <c r="G902" s="567"/>
    </row>
    <row r="903">
      <c r="B903" s="631"/>
      <c r="C903" s="527"/>
      <c r="E903" s="484"/>
      <c r="F903" s="651"/>
      <c r="G903" s="567"/>
    </row>
    <row r="904">
      <c r="B904" s="631"/>
      <c r="C904" s="527"/>
      <c r="E904" s="484"/>
      <c r="F904" s="651"/>
      <c r="G904" s="567"/>
    </row>
    <row r="905">
      <c r="B905" s="631"/>
      <c r="C905" s="527"/>
      <c r="E905" s="484"/>
      <c r="F905" s="651"/>
      <c r="G905" s="567"/>
    </row>
    <row r="906">
      <c r="B906" s="631"/>
      <c r="C906" s="527"/>
      <c r="E906" s="484"/>
      <c r="F906" s="651"/>
      <c r="G906" s="567"/>
    </row>
    <row r="907">
      <c r="B907" s="631"/>
      <c r="C907" s="527"/>
      <c r="E907" s="484"/>
      <c r="F907" s="651"/>
      <c r="G907" s="567"/>
    </row>
    <row r="908">
      <c r="B908" s="631"/>
      <c r="C908" s="527"/>
      <c r="E908" s="484"/>
      <c r="F908" s="651"/>
      <c r="G908" s="567"/>
    </row>
    <row r="909">
      <c r="B909" s="631"/>
      <c r="C909" s="527"/>
      <c r="E909" s="484"/>
      <c r="F909" s="651"/>
      <c r="G909" s="567"/>
    </row>
    <row r="910">
      <c r="B910" s="631"/>
      <c r="C910" s="527"/>
      <c r="E910" s="484"/>
      <c r="F910" s="651"/>
      <c r="G910" s="567"/>
    </row>
    <row r="911">
      <c r="B911" s="631"/>
      <c r="C911" s="527"/>
      <c r="E911" s="484"/>
      <c r="F911" s="651"/>
      <c r="G911" s="567"/>
    </row>
    <row r="912">
      <c r="B912" s="631"/>
      <c r="C912" s="527"/>
      <c r="E912" s="484"/>
      <c r="F912" s="651"/>
      <c r="G912" s="567"/>
    </row>
    <row r="913">
      <c r="B913" s="631"/>
      <c r="C913" s="527"/>
      <c r="E913" s="484"/>
      <c r="F913" s="651"/>
      <c r="G913" s="567"/>
    </row>
    <row r="914">
      <c r="B914" s="631"/>
      <c r="C914" s="527"/>
      <c r="E914" s="484"/>
      <c r="F914" s="651"/>
      <c r="G914" s="567"/>
    </row>
    <row r="915">
      <c r="B915" s="631"/>
      <c r="C915" s="527"/>
      <c r="E915" s="484"/>
      <c r="F915" s="651"/>
      <c r="G915" s="567"/>
    </row>
    <row r="916">
      <c r="B916" s="631"/>
      <c r="C916" s="527"/>
      <c r="E916" s="484"/>
      <c r="F916" s="651"/>
      <c r="G916" s="567"/>
    </row>
    <row r="917">
      <c r="B917" s="631"/>
      <c r="C917" s="527"/>
      <c r="E917" s="484"/>
      <c r="F917" s="651"/>
      <c r="G917" s="567"/>
    </row>
    <row r="918">
      <c r="B918" s="631"/>
      <c r="C918" s="527"/>
      <c r="E918" s="484"/>
      <c r="F918" s="651"/>
      <c r="G918" s="567"/>
    </row>
    <row r="919">
      <c r="B919" s="631"/>
      <c r="C919" s="527"/>
      <c r="E919" s="484"/>
      <c r="F919" s="651"/>
      <c r="G919" s="567"/>
    </row>
    <row r="920">
      <c r="B920" s="631"/>
      <c r="C920" s="527"/>
      <c r="E920" s="484"/>
      <c r="F920" s="651"/>
      <c r="G920" s="567"/>
    </row>
    <row r="921">
      <c r="B921" s="631"/>
      <c r="C921" s="527"/>
      <c r="E921" s="484"/>
      <c r="F921" s="651"/>
      <c r="G921" s="567"/>
    </row>
    <row r="922">
      <c r="B922" s="631"/>
      <c r="C922" s="527"/>
      <c r="E922" s="484"/>
      <c r="F922" s="651"/>
      <c r="G922" s="567"/>
    </row>
    <row r="923">
      <c r="B923" s="631"/>
      <c r="C923" s="527"/>
      <c r="E923" s="484"/>
      <c r="F923" s="651"/>
      <c r="G923" s="567"/>
    </row>
    <row r="924">
      <c r="B924" s="631"/>
      <c r="C924" s="527"/>
      <c r="E924" s="484"/>
      <c r="F924" s="651"/>
      <c r="G924" s="567"/>
    </row>
    <row r="925">
      <c r="B925" s="631"/>
      <c r="C925" s="527"/>
      <c r="E925" s="484"/>
      <c r="F925" s="651"/>
      <c r="G925" s="567"/>
    </row>
    <row r="926">
      <c r="B926" s="631"/>
      <c r="C926" s="527"/>
      <c r="E926" s="484"/>
      <c r="F926" s="651"/>
      <c r="G926" s="567"/>
    </row>
    <row r="927">
      <c r="B927" s="631"/>
      <c r="C927" s="527"/>
      <c r="E927" s="484"/>
      <c r="F927" s="651"/>
      <c r="G927" s="567"/>
    </row>
    <row r="928">
      <c r="B928" s="631"/>
      <c r="C928" s="527"/>
      <c r="E928" s="484"/>
      <c r="F928" s="651"/>
      <c r="G928" s="567"/>
    </row>
    <row r="929">
      <c r="B929" s="631"/>
      <c r="C929" s="527"/>
      <c r="E929" s="484"/>
      <c r="F929" s="651"/>
      <c r="G929" s="567"/>
    </row>
    <row r="930">
      <c r="B930" s="631"/>
      <c r="C930" s="527"/>
      <c r="E930" s="484"/>
      <c r="F930" s="651"/>
      <c r="G930" s="567"/>
    </row>
    <row r="931">
      <c r="B931" s="631"/>
      <c r="C931" s="527"/>
      <c r="E931" s="484"/>
      <c r="F931" s="651"/>
      <c r="G931" s="567"/>
    </row>
    <row r="932">
      <c r="B932" s="631"/>
      <c r="C932" s="527"/>
      <c r="E932" s="484"/>
      <c r="F932" s="651"/>
      <c r="G932" s="567"/>
    </row>
    <row r="933">
      <c r="B933" s="631"/>
      <c r="C933" s="527"/>
      <c r="E933" s="484"/>
      <c r="F933" s="651"/>
      <c r="G933" s="567"/>
    </row>
    <row r="934">
      <c r="B934" s="631"/>
      <c r="C934" s="527"/>
      <c r="E934" s="484"/>
      <c r="F934" s="651"/>
      <c r="G934" s="567"/>
    </row>
    <row r="935">
      <c r="B935" s="631"/>
      <c r="C935" s="527"/>
      <c r="E935" s="484"/>
      <c r="F935" s="651"/>
      <c r="G935" s="567"/>
    </row>
    <row r="936">
      <c r="B936" s="631"/>
      <c r="C936" s="527"/>
      <c r="E936" s="484"/>
      <c r="F936" s="651"/>
      <c r="G936" s="567"/>
    </row>
    <row r="937">
      <c r="B937" s="631"/>
      <c r="C937" s="527"/>
      <c r="E937" s="484"/>
      <c r="F937" s="651"/>
      <c r="G937" s="567"/>
    </row>
    <row r="938">
      <c r="B938" s="631"/>
      <c r="C938" s="527"/>
      <c r="E938" s="484"/>
      <c r="F938" s="651"/>
      <c r="G938" s="567"/>
    </row>
    <row r="939">
      <c r="B939" s="631"/>
      <c r="C939" s="527"/>
      <c r="E939" s="484"/>
      <c r="F939" s="651"/>
      <c r="G939" s="567"/>
    </row>
    <row r="940">
      <c r="B940" s="631"/>
      <c r="C940" s="527"/>
      <c r="E940" s="484"/>
      <c r="F940" s="651"/>
      <c r="G940" s="567"/>
    </row>
    <row r="941">
      <c r="B941" s="631"/>
      <c r="C941" s="527"/>
      <c r="E941" s="484"/>
      <c r="F941" s="651"/>
      <c r="G941" s="567"/>
    </row>
    <row r="942">
      <c r="B942" s="631"/>
      <c r="C942" s="527"/>
      <c r="E942" s="484"/>
      <c r="F942" s="651"/>
      <c r="G942" s="567"/>
    </row>
    <row r="943">
      <c r="B943" s="631"/>
      <c r="C943" s="527"/>
      <c r="E943" s="484"/>
      <c r="F943" s="651"/>
      <c r="G943" s="567"/>
    </row>
    <row r="944">
      <c r="B944" s="631"/>
      <c r="C944" s="527"/>
      <c r="E944" s="484"/>
      <c r="F944" s="651"/>
      <c r="G944" s="567"/>
    </row>
    <row r="945">
      <c r="B945" s="631"/>
      <c r="C945" s="527"/>
      <c r="E945" s="484"/>
      <c r="F945" s="651"/>
      <c r="G945" s="567"/>
    </row>
    <row r="946">
      <c r="B946" s="631"/>
      <c r="C946" s="527"/>
      <c r="E946" s="484"/>
      <c r="F946" s="651"/>
      <c r="G946" s="567"/>
    </row>
    <row r="947">
      <c r="B947" s="631"/>
      <c r="C947" s="527"/>
      <c r="E947" s="484"/>
      <c r="F947" s="651"/>
      <c r="G947" s="567"/>
    </row>
    <row r="948">
      <c r="B948" s="631"/>
      <c r="C948" s="527"/>
      <c r="E948" s="484"/>
      <c r="F948" s="651"/>
      <c r="G948" s="567"/>
    </row>
    <row r="949">
      <c r="B949" s="631"/>
      <c r="C949" s="527"/>
      <c r="E949" s="484"/>
      <c r="F949" s="651"/>
      <c r="G949" s="567"/>
    </row>
    <row r="950">
      <c r="B950" s="631"/>
      <c r="C950" s="527"/>
      <c r="E950" s="484"/>
      <c r="F950" s="651"/>
      <c r="G950" s="567"/>
    </row>
    <row r="951">
      <c r="B951" s="631"/>
      <c r="C951" s="527"/>
      <c r="E951" s="484"/>
      <c r="F951" s="651"/>
      <c r="G951" s="567"/>
    </row>
    <row r="952">
      <c r="B952" s="631"/>
      <c r="C952" s="527"/>
      <c r="E952" s="484"/>
      <c r="F952" s="651"/>
      <c r="G952" s="567"/>
    </row>
    <row r="953">
      <c r="B953" s="631"/>
      <c r="C953" s="527"/>
      <c r="E953" s="484"/>
      <c r="F953" s="651"/>
      <c r="G953" s="567"/>
    </row>
    <row r="954">
      <c r="B954" s="631"/>
      <c r="C954" s="527"/>
      <c r="E954" s="484"/>
      <c r="F954" s="651"/>
      <c r="G954" s="567"/>
    </row>
    <row r="955">
      <c r="B955" s="631"/>
      <c r="C955" s="527"/>
      <c r="E955" s="484"/>
      <c r="F955" s="651"/>
      <c r="G955" s="567"/>
    </row>
    <row r="956">
      <c r="B956" s="631"/>
      <c r="C956" s="527"/>
      <c r="E956" s="484"/>
      <c r="F956" s="651"/>
      <c r="G956" s="567"/>
    </row>
    <row r="957">
      <c r="B957" s="631"/>
      <c r="C957" s="527"/>
      <c r="E957" s="484"/>
      <c r="F957" s="651"/>
      <c r="G957" s="567"/>
    </row>
    <row r="958">
      <c r="B958" s="631"/>
      <c r="C958" s="527"/>
      <c r="E958" s="484"/>
      <c r="F958" s="651"/>
      <c r="G958" s="567"/>
    </row>
    <row r="959">
      <c r="B959" s="631"/>
      <c r="C959" s="527"/>
      <c r="E959" s="484"/>
      <c r="F959" s="651"/>
      <c r="G959" s="567"/>
    </row>
    <row r="960">
      <c r="B960" s="631"/>
      <c r="C960" s="527"/>
      <c r="E960" s="484"/>
      <c r="F960" s="651"/>
      <c r="G960" s="567"/>
    </row>
    <row r="961">
      <c r="B961" s="631"/>
      <c r="C961" s="527"/>
      <c r="E961" s="484"/>
      <c r="F961" s="651"/>
      <c r="G961" s="567"/>
    </row>
    <row r="962">
      <c r="B962" s="631"/>
      <c r="C962" s="527"/>
      <c r="E962" s="484"/>
      <c r="F962" s="651"/>
      <c r="G962" s="567"/>
    </row>
    <row r="963">
      <c r="B963" s="631"/>
      <c r="C963" s="527"/>
      <c r="E963" s="484"/>
      <c r="F963" s="651"/>
      <c r="G963" s="567"/>
    </row>
    <row r="964">
      <c r="B964" s="631"/>
      <c r="C964" s="527"/>
      <c r="E964" s="484"/>
      <c r="F964" s="651"/>
      <c r="G964" s="567"/>
    </row>
    <row r="965">
      <c r="B965" s="631"/>
      <c r="C965" s="527"/>
      <c r="E965" s="484"/>
      <c r="F965" s="651"/>
      <c r="G965" s="567"/>
    </row>
    <row r="966">
      <c r="B966" s="631"/>
      <c r="C966" s="527"/>
      <c r="E966" s="484"/>
      <c r="F966" s="651"/>
      <c r="G966" s="567"/>
    </row>
    <row r="967">
      <c r="B967" s="631"/>
      <c r="C967" s="527"/>
      <c r="E967" s="484"/>
      <c r="F967" s="651"/>
      <c r="G967" s="567"/>
    </row>
    <row r="968">
      <c r="B968" s="631"/>
      <c r="C968" s="527"/>
      <c r="E968" s="484"/>
      <c r="F968" s="651"/>
      <c r="G968" s="567"/>
    </row>
    <row r="969">
      <c r="B969" s="631"/>
      <c r="C969" s="527"/>
      <c r="E969" s="484"/>
      <c r="F969" s="651"/>
      <c r="G969" s="567"/>
    </row>
    <row r="970">
      <c r="B970" s="631"/>
      <c r="C970" s="527"/>
      <c r="E970" s="484"/>
      <c r="F970" s="651"/>
      <c r="G970" s="567"/>
    </row>
    <row r="971">
      <c r="B971" s="631"/>
      <c r="C971" s="527"/>
      <c r="E971" s="484"/>
      <c r="F971" s="651"/>
      <c r="G971" s="567"/>
    </row>
    <row r="972">
      <c r="B972" s="631"/>
      <c r="C972" s="527"/>
      <c r="E972" s="484"/>
      <c r="F972" s="651"/>
      <c r="G972" s="567"/>
    </row>
    <row r="973">
      <c r="B973" s="631"/>
      <c r="C973" s="527"/>
      <c r="E973" s="484"/>
      <c r="F973" s="651"/>
      <c r="G973" s="567"/>
    </row>
    <row r="974">
      <c r="B974" s="631"/>
      <c r="C974" s="527"/>
      <c r="E974" s="484"/>
      <c r="F974" s="651"/>
      <c r="G974" s="567"/>
    </row>
    <row r="975">
      <c r="B975" s="631"/>
      <c r="C975" s="527"/>
      <c r="E975" s="484"/>
      <c r="F975" s="651"/>
      <c r="G975" s="567"/>
    </row>
    <row r="976">
      <c r="B976" s="631"/>
      <c r="C976" s="527"/>
      <c r="E976" s="484"/>
      <c r="F976" s="651"/>
      <c r="G976" s="567"/>
    </row>
    <row r="977">
      <c r="B977" s="631"/>
      <c r="C977" s="527"/>
      <c r="E977" s="484"/>
      <c r="F977" s="651"/>
      <c r="G977" s="567"/>
    </row>
    <row r="978">
      <c r="B978" s="631"/>
      <c r="C978" s="527"/>
      <c r="E978" s="484"/>
      <c r="F978" s="651"/>
      <c r="G978" s="567"/>
    </row>
    <row r="979">
      <c r="B979" s="631"/>
      <c r="C979" s="527"/>
      <c r="E979" s="484"/>
      <c r="F979" s="651"/>
      <c r="G979" s="567"/>
    </row>
    <row r="980">
      <c r="B980" s="631"/>
      <c r="C980" s="527"/>
      <c r="E980" s="484"/>
      <c r="F980" s="651"/>
      <c r="G980" s="567"/>
    </row>
    <row r="981">
      <c r="B981" s="631"/>
      <c r="C981" s="527"/>
      <c r="E981" s="484"/>
      <c r="F981" s="651"/>
      <c r="G981" s="567"/>
    </row>
    <row r="982">
      <c r="B982" s="631"/>
      <c r="C982" s="527"/>
      <c r="E982" s="484"/>
      <c r="F982" s="651"/>
      <c r="G982" s="567"/>
    </row>
    <row r="983">
      <c r="B983" s="631"/>
      <c r="C983" s="527"/>
      <c r="E983" s="484"/>
      <c r="F983" s="651"/>
      <c r="G983" s="567"/>
    </row>
    <row r="984">
      <c r="B984" s="631"/>
      <c r="C984" s="527"/>
      <c r="E984" s="484"/>
      <c r="F984" s="651"/>
      <c r="G984" s="567"/>
    </row>
    <row r="985">
      <c r="B985" s="631"/>
      <c r="C985" s="527"/>
      <c r="E985" s="484"/>
      <c r="F985" s="651"/>
      <c r="G985" s="567"/>
    </row>
    <row r="986">
      <c r="B986" s="631"/>
      <c r="C986" s="527"/>
      <c r="E986" s="484"/>
      <c r="F986" s="651"/>
      <c r="G986" s="567"/>
    </row>
    <row r="987">
      <c r="B987" s="631"/>
      <c r="C987" s="527"/>
      <c r="E987" s="484"/>
      <c r="F987" s="651"/>
      <c r="G987" s="567"/>
    </row>
    <row r="988">
      <c r="B988" s="631"/>
      <c r="C988" s="527"/>
      <c r="E988" s="484"/>
      <c r="F988" s="651"/>
      <c r="G988" s="567"/>
    </row>
    <row r="989">
      <c r="B989" s="631"/>
      <c r="C989" s="527"/>
      <c r="E989" s="484"/>
      <c r="F989" s="651"/>
      <c r="G989" s="567"/>
    </row>
    <row r="990">
      <c r="B990" s="631"/>
      <c r="C990" s="527"/>
      <c r="E990" s="484"/>
      <c r="F990" s="651"/>
      <c r="G990" s="567"/>
    </row>
    <row r="991">
      <c r="B991" s="631"/>
      <c r="C991" s="527"/>
      <c r="E991" s="484"/>
      <c r="F991" s="651"/>
      <c r="G991" s="567"/>
    </row>
    <row r="992">
      <c r="B992" s="631"/>
      <c r="C992" s="527"/>
      <c r="E992" s="484"/>
      <c r="F992" s="651"/>
      <c r="G992" s="567"/>
    </row>
    <row r="993">
      <c r="B993" s="631"/>
      <c r="C993" s="527"/>
      <c r="E993" s="484"/>
      <c r="F993" s="651"/>
      <c r="G993" s="567"/>
    </row>
    <row r="994">
      <c r="B994" s="631"/>
      <c r="C994" s="527"/>
      <c r="E994" s="484"/>
      <c r="F994" s="651"/>
      <c r="G994" s="567"/>
    </row>
    <row r="995">
      <c r="B995" s="631"/>
      <c r="C995" s="527"/>
      <c r="E995" s="484"/>
      <c r="F995" s="651"/>
      <c r="G995" s="567"/>
    </row>
    <row r="996">
      <c r="B996" s="631"/>
      <c r="C996" s="527"/>
      <c r="E996" s="484"/>
      <c r="F996" s="651"/>
      <c r="G996" s="567"/>
    </row>
    <row r="997">
      <c r="B997" s="631"/>
      <c r="C997" s="527"/>
      <c r="E997" s="484"/>
      <c r="F997" s="651"/>
      <c r="G997" s="567"/>
    </row>
    <row r="998">
      <c r="B998" s="631"/>
      <c r="C998" s="527"/>
    </row>
  </sheetData>
  <mergeCells count="42">
    <mergeCell ref="B7:G7"/>
    <mergeCell ref="B9:G9"/>
    <mergeCell ref="A2:A13"/>
    <mergeCell ref="I2:K3"/>
    <mergeCell ref="B3:G3"/>
    <mergeCell ref="I4:K4"/>
    <mergeCell ref="B5:G5"/>
    <mergeCell ref="I5:K5"/>
    <mergeCell ref="I8:K13"/>
    <mergeCell ref="I6:K6"/>
    <mergeCell ref="I7:K7"/>
    <mergeCell ref="I16:K17"/>
    <mergeCell ref="I18:K18"/>
    <mergeCell ref="I19:K19"/>
    <mergeCell ref="I20:K20"/>
    <mergeCell ref="I21:K21"/>
    <mergeCell ref="A16:A26"/>
    <mergeCell ref="A29:A38"/>
    <mergeCell ref="B30:G30"/>
    <mergeCell ref="B32:G32"/>
    <mergeCell ref="B34:G34"/>
    <mergeCell ref="B36:G36"/>
    <mergeCell ref="B38:G38"/>
    <mergeCell ref="B11:G11"/>
    <mergeCell ref="B13:G13"/>
    <mergeCell ref="B17:G17"/>
    <mergeCell ref="B19:G19"/>
    <mergeCell ref="B21:G21"/>
    <mergeCell ref="B23:G23"/>
    <mergeCell ref="B25:G25"/>
    <mergeCell ref="I35:K38"/>
    <mergeCell ref="H42:I42"/>
    <mergeCell ref="H43:I43"/>
    <mergeCell ref="H44:I44"/>
    <mergeCell ref="B47:J47"/>
    <mergeCell ref="I22:K22"/>
    <mergeCell ref="I23:K26"/>
    <mergeCell ref="I30:K30"/>
    <mergeCell ref="I31:K31"/>
    <mergeCell ref="I32:K32"/>
    <mergeCell ref="I33:K33"/>
    <mergeCell ref="I34:K34"/>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1.63"/>
    <col customWidth="1" min="3" max="3" width="12.25"/>
    <col customWidth="1" min="4" max="4" width="11.63"/>
    <col customWidth="1" min="5" max="5" width="11.5"/>
    <col customWidth="1" min="6" max="6" width="3.63"/>
    <col customWidth="1" min="7" max="7" width="35.63"/>
    <col customWidth="1" min="8" max="8" width="3.63"/>
    <col customWidth="1" min="9" max="9" width="14.75"/>
    <col customWidth="1" min="10" max="10" width="11.88"/>
    <col customWidth="1" min="11" max="11" width="12.0"/>
  </cols>
  <sheetData>
    <row r="1" ht="35.25" customHeight="1">
      <c r="A1" s="675" t="s">
        <v>703</v>
      </c>
      <c r="B1" s="676" t="s">
        <v>704</v>
      </c>
      <c r="C1" s="676" t="s">
        <v>348</v>
      </c>
      <c r="D1" s="676" t="s">
        <v>705</v>
      </c>
      <c r="E1" s="676" t="s">
        <v>706</v>
      </c>
      <c r="F1" s="677"/>
      <c r="G1" s="678" t="s">
        <v>707</v>
      </c>
      <c r="H1" s="677"/>
      <c r="I1" s="679"/>
      <c r="J1" s="680"/>
      <c r="K1" s="680"/>
      <c r="L1" s="679"/>
      <c r="M1" s="681"/>
    </row>
    <row r="2" ht="19.5" customHeight="1">
      <c r="A2" s="682" t="s">
        <v>708</v>
      </c>
      <c r="B2" s="683">
        <f>IFERROR(__xludf.DUMMYFUNCTION("IMPORTRANGE(""https://docs.google.com/spreadsheets/d/1VIApWyUAXX6keGlOrJuNMFqZ8R1cEuFOP75KhY1LyTM/edit"" , ""Hoja 1!M3"")"),625.0)</f>
        <v>625</v>
      </c>
      <c r="C2" s="684" t="s">
        <v>508</v>
      </c>
      <c r="D2" s="684" t="s">
        <v>508</v>
      </c>
      <c r="E2" s="684" t="s">
        <v>508</v>
      </c>
      <c r="I2" s="685"/>
      <c r="J2" s="686"/>
      <c r="K2" s="686"/>
      <c r="L2" s="686"/>
      <c r="M2" s="687"/>
    </row>
    <row r="3" ht="18.75" customHeight="1">
      <c r="A3" s="682" t="s">
        <v>709</v>
      </c>
      <c r="B3" s="683">
        <f>IFERROR(__xludf.DUMMYFUNCTION("IMPORTRANGE(""https://docs.google.com/spreadsheets/d/1VIApWyUAXX6keGlOrJuNMFqZ8R1cEuFOP75KhY1LyTM/edit"" , ""Hoja 1!M4"")"),695.0)</f>
        <v>695</v>
      </c>
      <c r="C3" s="688" t="s">
        <v>710</v>
      </c>
      <c r="D3" s="684" t="s">
        <v>508</v>
      </c>
      <c r="E3" s="684" t="s">
        <v>508</v>
      </c>
      <c r="I3" s="685"/>
      <c r="J3" s="686"/>
      <c r="K3" s="686"/>
      <c r="L3" s="686"/>
      <c r="M3" s="687"/>
    </row>
    <row r="4" ht="21.0" customHeight="1">
      <c r="A4" s="682" t="s">
        <v>711</v>
      </c>
      <c r="B4" s="683">
        <f>IFERROR(__xludf.DUMMYFUNCTION("IMPORTRANGE(""https://docs.google.com/spreadsheets/d/1VIApWyUAXX6keGlOrJuNMFqZ8R1cEuFOP75KhY1LyTM/edit"" , ""Hoja 1!M5"")"),815.0)</f>
        <v>815</v>
      </c>
      <c r="C4" s="684" t="s">
        <v>508</v>
      </c>
      <c r="D4" s="684" t="s">
        <v>508</v>
      </c>
      <c r="E4" s="684" t="s">
        <v>508</v>
      </c>
      <c r="I4" s="685"/>
      <c r="J4" s="686"/>
      <c r="K4" s="686"/>
      <c r="L4" s="686"/>
      <c r="M4" s="687"/>
    </row>
    <row r="5" ht="19.5" customHeight="1">
      <c r="A5" s="689" t="s">
        <v>712</v>
      </c>
      <c r="B5" s="683">
        <f>IFERROR(__xludf.DUMMYFUNCTION("IMPORTRANGE(""https://docs.google.com/spreadsheets/d/1VIApWyUAXX6keGlOrJuNMFqZ8R1cEuFOP75KhY1LyTM/edit"" , ""Hoja 1!M6"")"),885.0)</f>
        <v>885</v>
      </c>
      <c r="C5" s="684" t="s">
        <v>508</v>
      </c>
      <c r="D5" s="690" t="s">
        <v>508</v>
      </c>
      <c r="E5" s="690" t="s">
        <v>508</v>
      </c>
      <c r="G5" s="691" t="s">
        <v>713</v>
      </c>
      <c r="I5" s="685"/>
      <c r="J5" s="686"/>
      <c r="K5" s="686"/>
      <c r="L5" s="686"/>
      <c r="M5" s="687"/>
    </row>
    <row r="6" ht="22.5" customHeight="1">
      <c r="A6" s="689" t="s">
        <v>714</v>
      </c>
      <c r="B6" s="690" t="s">
        <v>508</v>
      </c>
      <c r="C6" s="690" t="s">
        <v>508</v>
      </c>
      <c r="D6" s="690" t="s">
        <v>508</v>
      </c>
      <c r="E6" s="690" t="s">
        <v>508</v>
      </c>
      <c r="G6" s="692" t="s">
        <v>715</v>
      </c>
      <c r="I6" s="685"/>
      <c r="J6" s="686"/>
      <c r="K6" s="686"/>
      <c r="L6" s="686"/>
      <c r="M6" s="687"/>
    </row>
    <row r="7" ht="19.5" customHeight="1">
      <c r="A7" s="689" t="s">
        <v>716</v>
      </c>
      <c r="B7" s="683">
        <f>IFERROR(__xludf.DUMMYFUNCTION("IMPORTRANGE(""https://docs.google.com/spreadsheets/d/1VIApWyUAXX6keGlOrJuNMFqZ8R1cEuFOP75KhY1LyTM/edit"" , ""Hoja 1!M8"")"),1160.0)</f>
        <v>1160</v>
      </c>
      <c r="C7" s="683">
        <f>IFERROR(__xludf.DUMMYFUNCTION("IMPORTRANGE(""https://docs.google.com/spreadsheets/d/1VIApWyUAXX6keGlOrJuNMFqZ8R1cEuFOP75KhY1LyTM/edit"" , ""Hoja 1!M9"")"),1260.0)</f>
        <v>1260</v>
      </c>
      <c r="D7" s="690" t="s">
        <v>508</v>
      </c>
      <c r="E7" s="690" t="s">
        <v>508</v>
      </c>
      <c r="G7" s="693" t="s">
        <v>717</v>
      </c>
      <c r="I7" s="685"/>
      <c r="J7" s="686"/>
      <c r="K7" s="686"/>
      <c r="L7" s="686"/>
      <c r="M7" s="687"/>
    </row>
    <row r="8" ht="23.25" customHeight="1">
      <c r="A8" s="689" t="s">
        <v>718</v>
      </c>
      <c r="B8" s="688" t="s">
        <v>710</v>
      </c>
      <c r="C8" s="683">
        <f>IFERROR(__xludf.DUMMYFUNCTION("IMPORTRANGE(""https://docs.google.com/spreadsheets/d/1VIApWyUAXX6keGlOrJuNMFqZ8R1cEuFOP75KhY1LyTM/edit"" , ""Hoja 1!M10"")"),1360.0)</f>
        <v>1360</v>
      </c>
      <c r="D8" s="694">
        <v>1590.0</v>
      </c>
      <c r="E8" s="690" t="s">
        <v>508</v>
      </c>
      <c r="F8" s="238"/>
      <c r="H8" s="238"/>
      <c r="I8" s="685"/>
      <c r="J8" s="686"/>
      <c r="K8" s="686"/>
      <c r="L8" s="686"/>
      <c r="M8" s="687"/>
    </row>
    <row r="9">
      <c r="A9" s="682" t="s">
        <v>719</v>
      </c>
      <c r="B9" s="688" t="s">
        <v>710</v>
      </c>
      <c r="C9" s="683">
        <f>IFERROR(__xludf.DUMMYFUNCTION("IMPORTRANGE(""https://docs.google.com/spreadsheets/d/1VIApWyUAXX6keGlOrJuNMFqZ8R1cEuFOP75KhY1LyTM/edit"" , ""Hoja 1!M11"")"),1115.0)</f>
        <v>1115</v>
      </c>
      <c r="D9" s="690"/>
      <c r="E9" s="690"/>
      <c r="F9" s="238"/>
      <c r="G9" s="257"/>
      <c r="I9" s="685"/>
      <c r="J9" s="695"/>
      <c r="K9" s="686"/>
      <c r="L9" s="686"/>
      <c r="M9" s="696"/>
    </row>
    <row r="10" ht="15.75" customHeight="1">
      <c r="A10" s="682" t="s">
        <v>720</v>
      </c>
      <c r="C10" s="683">
        <f>IFERROR(__xludf.DUMMYFUNCTION("IMPORTRANGE(""https://docs.google.com/spreadsheets/d/1VIApWyUAXX6keGlOrJuNMFqZ8R1cEuFOP75KhY1LyTM/edit"" , ""Hoja 1!M12"")"),1135.0)</f>
        <v>1135</v>
      </c>
      <c r="D10" s="690"/>
      <c r="E10" s="690"/>
      <c r="F10" s="238"/>
      <c r="G10" s="257"/>
      <c r="I10" s="685"/>
      <c r="J10" s="686"/>
      <c r="K10" s="686"/>
      <c r="L10" s="686"/>
    </row>
    <row r="11">
      <c r="A11" s="682" t="s">
        <v>721</v>
      </c>
      <c r="B11" s="688" t="s">
        <v>710</v>
      </c>
      <c r="C11" s="683">
        <f>IFERROR(__xludf.DUMMYFUNCTION("IMPORTRANGE(""https://docs.google.com/spreadsheets/d/1VIApWyUAXX6keGlOrJuNMFqZ8R1cEuFOP75KhY1LyTM/edit"" , ""Hoja 1!M13"")"),1445.0)</f>
        <v>1445</v>
      </c>
      <c r="D11" s="683">
        <f>IFERROR(__xludf.DUMMYFUNCTION("IMPORTRANGE(""https://docs.google.com/spreadsheets/d/1VIApWyUAXX6keGlOrJuNMFqZ8R1cEuFOP75KhY1LyTM/edit"" , ""Hoja 1!M14"")"),195.0)</f>
        <v>195</v>
      </c>
      <c r="E11" s="690"/>
      <c r="F11" s="238"/>
      <c r="G11" s="240"/>
      <c r="I11" s="685"/>
      <c r="J11" s="686"/>
      <c r="K11" s="686"/>
      <c r="L11" s="686"/>
    </row>
    <row r="12">
      <c r="A12" s="682" t="s">
        <v>722</v>
      </c>
      <c r="B12" s="688" t="s">
        <v>710</v>
      </c>
      <c r="C12" s="683">
        <f>IFERROR(__xludf.DUMMYFUNCTION("IMPORTRANGE(""https://docs.google.com/spreadsheets/d/1VIApWyUAXX6keGlOrJuNMFqZ8R1cEuFOP75KhY1LyTM/edit"" , ""Hoja 1!M15"")"),1545.0)</f>
        <v>1545</v>
      </c>
      <c r="D12" s="694">
        <f>IFERROR(__xludf.DUMMYFUNCTION("IMPORTRANGE(""https://docs.google.com/spreadsheets/d/1VIApWyUAXX6keGlOrJuNMFqZ8R1cEuFOP75KhY1LyTM/edit"" , ""Hoja 1!M16"")"),1735.0)</f>
        <v>1735</v>
      </c>
      <c r="E12" s="690"/>
      <c r="G12" s="240"/>
      <c r="I12" s="685"/>
      <c r="J12" s="686"/>
      <c r="K12" s="686"/>
      <c r="L12" s="686"/>
    </row>
    <row r="13">
      <c r="A13" s="697"/>
      <c r="B13" s="698"/>
      <c r="C13" s="698"/>
      <c r="D13" s="699"/>
      <c r="E13" s="699"/>
      <c r="G13" s="240"/>
      <c r="I13" s="685"/>
      <c r="J13" s="686"/>
      <c r="K13" s="686"/>
      <c r="L13" s="686"/>
    </row>
    <row r="14">
      <c r="A14" s="700"/>
      <c r="B14" s="701"/>
      <c r="C14" s="701"/>
      <c r="D14" s="702"/>
      <c r="E14" s="702"/>
      <c r="I14" s="685"/>
      <c r="J14" s="686"/>
      <c r="K14" s="686"/>
      <c r="L14" s="686"/>
    </row>
    <row r="15">
      <c r="A15" s="703"/>
      <c r="I15" s="685"/>
      <c r="J15" s="686"/>
      <c r="K15" s="686"/>
      <c r="L15" s="686"/>
    </row>
    <row r="16">
      <c r="A16" s="703"/>
      <c r="I16" s="685"/>
      <c r="J16" s="686"/>
      <c r="K16" s="686"/>
      <c r="L16" s="686"/>
    </row>
    <row r="17">
      <c r="A17" s="703"/>
      <c r="I17" s="685"/>
      <c r="J17" s="686"/>
      <c r="K17" s="686"/>
      <c r="L17" s="686"/>
    </row>
    <row r="18">
      <c r="A18" s="703"/>
      <c r="I18" s="685"/>
      <c r="J18" s="686"/>
      <c r="K18" s="686"/>
      <c r="L18" s="686"/>
    </row>
    <row r="19">
      <c r="A19" s="703"/>
      <c r="I19" s="238"/>
      <c r="J19" s="238"/>
      <c r="K19" s="238"/>
      <c r="L19" s="238"/>
    </row>
    <row r="20">
      <c r="A20" s="703"/>
      <c r="L20" s="238"/>
    </row>
    <row r="21">
      <c r="A21" s="703"/>
      <c r="L21" s="238"/>
    </row>
    <row r="22">
      <c r="A22" s="703"/>
      <c r="L22" s="238"/>
    </row>
    <row r="23">
      <c r="A23" s="703"/>
      <c r="L23" s="238"/>
    </row>
    <row r="24">
      <c r="A24" s="703"/>
      <c r="L24" s="238"/>
    </row>
    <row r="25">
      <c r="A25" s="703"/>
      <c r="L25" s="238"/>
    </row>
    <row r="26">
      <c r="A26" s="703"/>
      <c r="L26" s="238"/>
    </row>
    <row r="27">
      <c r="A27" s="703"/>
      <c r="L27" s="238"/>
    </row>
    <row r="28">
      <c r="A28" s="703"/>
      <c r="L28" s="238"/>
    </row>
    <row r="29">
      <c r="A29" s="703"/>
      <c r="L29" s="238"/>
    </row>
    <row r="30">
      <c r="A30" s="703"/>
      <c r="L30" s="238"/>
    </row>
    <row r="31">
      <c r="A31" s="703"/>
      <c r="L31" s="238"/>
    </row>
    <row r="32">
      <c r="A32" s="703"/>
      <c r="L32" s="238"/>
    </row>
    <row r="33">
      <c r="A33" s="703"/>
      <c r="L33" s="238"/>
    </row>
    <row r="34">
      <c r="A34" s="703"/>
      <c r="L34" s="238"/>
    </row>
    <row r="35">
      <c r="A35" s="703"/>
      <c r="L35" s="238"/>
    </row>
    <row r="36">
      <c r="A36" s="703"/>
      <c r="L36" s="238"/>
    </row>
    <row r="37">
      <c r="A37" s="703"/>
      <c r="L37" s="238"/>
    </row>
    <row r="38">
      <c r="A38" s="703"/>
      <c r="L38" s="238"/>
    </row>
    <row r="39">
      <c r="A39" s="703"/>
      <c r="L39" s="238"/>
    </row>
    <row r="40">
      <c r="A40" s="703"/>
      <c r="L40" s="238"/>
    </row>
    <row r="41">
      <c r="A41" s="703"/>
      <c r="L41" s="238"/>
    </row>
    <row r="42">
      <c r="A42" s="703"/>
      <c r="L42" s="238"/>
    </row>
    <row r="43">
      <c r="A43" s="703"/>
      <c r="L43" s="238"/>
    </row>
    <row r="44">
      <c r="A44" s="703"/>
      <c r="L44" s="238"/>
    </row>
    <row r="45">
      <c r="A45" s="703"/>
      <c r="L45" s="238"/>
    </row>
    <row r="46">
      <c r="A46" s="703"/>
      <c r="L46" s="238"/>
    </row>
    <row r="47">
      <c r="A47" s="703"/>
      <c r="L47" s="238"/>
    </row>
    <row r="48">
      <c r="A48" s="703"/>
      <c r="L48" s="238"/>
    </row>
    <row r="49">
      <c r="A49" s="703"/>
      <c r="L49" s="238"/>
    </row>
    <row r="50">
      <c r="A50" s="703"/>
      <c r="L50" s="238"/>
    </row>
    <row r="51">
      <c r="A51" s="703"/>
      <c r="L51" s="238"/>
    </row>
    <row r="52">
      <c r="A52" s="703"/>
      <c r="L52" s="238"/>
    </row>
    <row r="53">
      <c r="A53" s="703"/>
      <c r="L53" s="238"/>
    </row>
    <row r="54">
      <c r="A54" s="703"/>
      <c r="L54" s="238"/>
    </row>
    <row r="55">
      <c r="A55" s="703"/>
      <c r="L55" s="238"/>
    </row>
    <row r="56">
      <c r="A56" s="703"/>
      <c r="L56" s="238"/>
    </row>
    <row r="57">
      <c r="A57" s="703"/>
      <c r="L57" s="238"/>
    </row>
    <row r="58">
      <c r="A58" s="703"/>
      <c r="L58" s="238"/>
    </row>
    <row r="59">
      <c r="A59" s="703"/>
      <c r="L59" s="238"/>
    </row>
    <row r="60">
      <c r="A60" s="703"/>
      <c r="L60" s="238"/>
    </row>
    <row r="61">
      <c r="A61" s="703"/>
      <c r="L61" s="238"/>
    </row>
    <row r="62">
      <c r="A62" s="703"/>
      <c r="L62" s="238"/>
    </row>
    <row r="63">
      <c r="A63" s="703"/>
      <c r="L63" s="238"/>
    </row>
    <row r="64">
      <c r="A64" s="703"/>
      <c r="L64" s="238"/>
    </row>
    <row r="65">
      <c r="A65" s="703"/>
      <c r="L65" s="238"/>
    </row>
    <row r="66">
      <c r="A66" s="703"/>
      <c r="L66" s="238"/>
    </row>
    <row r="67">
      <c r="A67" s="703"/>
      <c r="L67" s="238"/>
    </row>
    <row r="68">
      <c r="A68" s="703"/>
      <c r="L68" s="238"/>
    </row>
    <row r="69">
      <c r="A69" s="703"/>
      <c r="L69" s="238"/>
    </row>
    <row r="70">
      <c r="A70" s="703"/>
      <c r="L70" s="238"/>
    </row>
    <row r="71">
      <c r="A71" s="703"/>
      <c r="L71" s="238"/>
    </row>
    <row r="72">
      <c r="A72" s="703"/>
      <c r="L72" s="238"/>
    </row>
    <row r="73">
      <c r="A73" s="703"/>
      <c r="L73" s="238"/>
    </row>
    <row r="74">
      <c r="A74" s="703"/>
      <c r="L74" s="238"/>
    </row>
    <row r="75">
      <c r="A75" s="703"/>
      <c r="L75" s="238"/>
    </row>
    <row r="76">
      <c r="A76" s="703"/>
      <c r="L76" s="238"/>
    </row>
    <row r="77">
      <c r="A77" s="703"/>
      <c r="L77" s="238"/>
    </row>
    <row r="78">
      <c r="A78" s="703"/>
      <c r="L78" s="238"/>
    </row>
    <row r="79">
      <c r="A79" s="703"/>
      <c r="L79" s="238"/>
    </row>
    <row r="80">
      <c r="A80" s="703"/>
      <c r="L80" s="238"/>
    </row>
    <row r="81">
      <c r="A81" s="703"/>
      <c r="L81" s="238"/>
    </row>
    <row r="82">
      <c r="A82" s="703"/>
      <c r="L82" s="238"/>
    </row>
    <row r="83">
      <c r="A83" s="703"/>
      <c r="L83" s="238"/>
    </row>
    <row r="84">
      <c r="A84" s="703"/>
      <c r="L84" s="238"/>
    </row>
    <row r="85">
      <c r="A85" s="703"/>
      <c r="L85" s="238"/>
    </row>
    <row r="86">
      <c r="A86" s="703"/>
      <c r="L86" s="238"/>
    </row>
    <row r="87">
      <c r="A87" s="703"/>
      <c r="L87" s="238"/>
    </row>
    <row r="88">
      <c r="A88" s="703"/>
      <c r="L88" s="238"/>
    </row>
    <row r="89">
      <c r="A89" s="703"/>
      <c r="L89" s="238"/>
    </row>
    <row r="90">
      <c r="A90" s="703"/>
      <c r="L90" s="238"/>
    </row>
    <row r="91">
      <c r="A91" s="703"/>
      <c r="L91" s="238"/>
    </row>
    <row r="92">
      <c r="A92" s="703"/>
      <c r="L92" s="238"/>
    </row>
    <row r="93">
      <c r="A93" s="703"/>
      <c r="L93" s="238"/>
    </row>
    <row r="94">
      <c r="A94" s="703"/>
      <c r="L94" s="238"/>
    </row>
    <row r="95">
      <c r="A95" s="703"/>
      <c r="L95" s="238"/>
    </row>
    <row r="96">
      <c r="A96" s="703"/>
      <c r="L96" s="238"/>
    </row>
    <row r="97">
      <c r="A97" s="703"/>
      <c r="L97" s="238"/>
    </row>
    <row r="98">
      <c r="A98" s="703"/>
      <c r="L98" s="238"/>
    </row>
    <row r="99">
      <c r="A99" s="703"/>
      <c r="L99" s="238"/>
    </row>
    <row r="100">
      <c r="A100" s="703"/>
      <c r="L100" s="238"/>
    </row>
    <row r="101">
      <c r="A101" s="703"/>
      <c r="L101" s="238"/>
    </row>
    <row r="102">
      <c r="A102" s="703"/>
      <c r="L102" s="238"/>
    </row>
    <row r="103">
      <c r="A103" s="703"/>
      <c r="L103" s="238"/>
    </row>
    <row r="104">
      <c r="A104" s="703"/>
      <c r="L104" s="238"/>
    </row>
    <row r="105">
      <c r="A105" s="703"/>
      <c r="L105" s="238"/>
    </row>
    <row r="106">
      <c r="A106" s="703"/>
      <c r="L106" s="238"/>
    </row>
    <row r="107">
      <c r="A107" s="703"/>
      <c r="L107" s="238"/>
    </row>
    <row r="108">
      <c r="A108" s="703"/>
      <c r="L108" s="238"/>
    </row>
    <row r="109">
      <c r="A109" s="703"/>
      <c r="L109" s="238"/>
    </row>
    <row r="110">
      <c r="A110" s="703"/>
      <c r="L110" s="238"/>
    </row>
    <row r="111">
      <c r="A111" s="703"/>
      <c r="L111" s="238"/>
    </row>
    <row r="112">
      <c r="A112" s="703"/>
      <c r="L112" s="238"/>
    </row>
    <row r="113">
      <c r="A113" s="703"/>
      <c r="L113" s="238"/>
    </row>
    <row r="114">
      <c r="A114" s="703"/>
      <c r="L114" s="238"/>
    </row>
    <row r="115">
      <c r="A115" s="703"/>
      <c r="L115" s="238"/>
    </row>
    <row r="116">
      <c r="A116" s="703"/>
      <c r="L116" s="238"/>
    </row>
    <row r="117">
      <c r="A117" s="703"/>
      <c r="L117" s="238"/>
    </row>
    <row r="118">
      <c r="A118" s="703"/>
      <c r="L118" s="238"/>
    </row>
    <row r="119">
      <c r="A119" s="703"/>
      <c r="L119" s="238"/>
    </row>
    <row r="120">
      <c r="A120" s="703"/>
      <c r="L120" s="238"/>
    </row>
    <row r="121">
      <c r="A121" s="703"/>
      <c r="L121" s="238"/>
    </row>
    <row r="122">
      <c r="A122" s="703"/>
      <c r="L122" s="238"/>
    </row>
    <row r="123">
      <c r="A123" s="703"/>
      <c r="L123" s="238"/>
    </row>
    <row r="124">
      <c r="A124" s="703"/>
      <c r="L124" s="238"/>
    </row>
    <row r="125">
      <c r="A125" s="703"/>
      <c r="L125" s="238"/>
    </row>
    <row r="126">
      <c r="A126" s="703"/>
      <c r="L126" s="238"/>
    </row>
    <row r="127">
      <c r="A127" s="703"/>
      <c r="L127" s="238"/>
    </row>
    <row r="128">
      <c r="A128" s="703"/>
      <c r="L128" s="238"/>
    </row>
    <row r="129">
      <c r="A129" s="703"/>
      <c r="L129" s="238"/>
    </row>
    <row r="130">
      <c r="A130" s="703"/>
      <c r="L130" s="238"/>
    </row>
    <row r="131">
      <c r="A131" s="703"/>
      <c r="L131" s="238"/>
    </row>
    <row r="132">
      <c r="A132" s="703"/>
      <c r="L132" s="238"/>
    </row>
    <row r="133">
      <c r="A133" s="703"/>
      <c r="L133" s="238"/>
    </row>
    <row r="134">
      <c r="A134" s="703"/>
      <c r="L134" s="238"/>
    </row>
    <row r="135">
      <c r="A135" s="703"/>
      <c r="L135" s="238"/>
    </row>
    <row r="136">
      <c r="A136" s="703"/>
      <c r="L136" s="238"/>
    </row>
    <row r="137">
      <c r="A137" s="703"/>
      <c r="L137" s="238"/>
    </row>
    <row r="138">
      <c r="A138" s="703"/>
      <c r="L138" s="238"/>
    </row>
    <row r="139">
      <c r="A139" s="703"/>
      <c r="L139" s="238"/>
    </row>
    <row r="140">
      <c r="A140" s="703"/>
      <c r="L140" s="238"/>
    </row>
    <row r="141">
      <c r="A141" s="703"/>
      <c r="L141" s="238"/>
    </row>
    <row r="142">
      <c r="A142" s="703"/>
      <c r="L142" s="238"/>
    </row>
    <row r="143">
      <c r="A143" s="703"/>
      <c r="L143" s="238"/>
    </row>
    <row r="144">
      <c r="A144" s="703"/>
      <c r="L144" s="238"/>
    </row>
    <row r="145">
      <c r="A145" s="703"/>
      <c r="L145" s="238"/>
    </row>
    <row r="146">
      <c r="A146" s="703"/>
      <c r="L146" s="238"/>
    </row>
    <row r="147">
      <c r="A147" s="703"/>
      <c r="L147" s="238"/>
    </row>
    <row r="148">
      <c r="A148" s="703"/>
      <c r="L148" s="238"/>
    </row>
    <row r="149">
      <c r="A149" s="703"/>
      <c r="L149" s="238"/>
    </row>
    <row r="150">
      <c r="A150" s="703"/>
      <c r="L150" s="238"/>
    </row>
    <row r="151">
      <c r="A151" s="703"/>
      <c r="L151" s="238"/>
    </row>
    <row r="152">
      <c r="A152" s="703"/>
      <c r="L152" s="238"/>
    </row>
    <row r="153">
      <c r="A153" s="703"/>
      <c r="L153" s="238"/>
    </row>
    <row r="154">
      <c r="A154" s="703"/>
      <c r="L154" s="238"/>
    </row>
    <row r="155">
      <c r="A155" s="703"/>
      <c r="L155" s="238"/>
    </row>
    <row r="156">
      <c r="A156" s="703"/>
      <c r="L156" s="238"/>
    </row>
    <row r="157">
      <c r="A157" s="703"/>
      <c r="L157" s="238"/>
    </row>
    <row r="158">
      <c r="A158" s="703"/>
      <c r="L158" s="238"/>
    </row>
    <row r="159">
      <c r="A159" s="703"/>
      <c r="L159" s="238"/>
    </row>
    <row r="160">
      <c r="A160" s="703"/>
      <c r="L160" s="238"/>
    </row>
    <row r="161">
      <c r="A161" s="703"/>
      <c r="L161" s="238"/>
    </row>
    <row r="162">
      <c r="A162" s="703"/>
      <c r="L162" s="238"/>
    </row>
    <row r="163">
      <c r="A163" s="703"/>
      <c r="L163" s="238"/>
    </row>
    <row r="164">
      <c r="A164" s="703"/>
      <c r="L164" s="238"/>
    </row>
    <row r="165">
      <c r="A165" s="703"/>
      <c r="L165" s="238"/>
    </row>
    <row r="166">
      <c r="A166" s="703"/>
      <c r="L166" s="238"/>
    </row>
    <row r="167">
      <c r="A167" s="703"/>
      <c r="L167" s="238"/>
    </row>
    <row r="168">
      <c r="A168" s="703"/>
      <c r="L168" s="238"/>
    </row>
    <row r="169">
      <c r="A169" s="703"/>
      <c r="L169" s="238"/>
    </row>
    <row r="170">
      <c r="A170" s="703"/>
      <c r="L170" s="238"/>
    </row>
    <row r="171">
      <c r="A171" s="703"/>
      <c r="L171" s="238"/>
    </row>
    <row r="172">
      <c r="A172" s="703"/>
      <c r="L172" s="238"/>
    </row>
    <row r="173">
      <c r="A173" s="703"/>
      <c r="L173" s="238"/>
    </row>
    <row r="174">
      <c r="A174" s="703"/>
      <c r="L174" s="238"/>
    </row>
    <row r="175">
      <c r="A175" s="703"/>
      <c r="L175" s="238"/>
    </row>
    <row r="176">
      <c r="A176" s="703"/>
      <c r="L176" s="238"/>
    </row>
    <row r="177">
      <c r="A177" s="703"/>
      <c r="L177" s="238"/>
    </row>
    <row r="178">
      <c r="A178" s="703"/>
      <c r="L178" s="238"/>
    </row>
    <row r="179">
      <c r="A179" s="703"/>
      <c r="L179" s="238"/>
    </row>
    <row r="180">
      <c r="A180" s="703"/>
      <c r="L180" s="238"/>
    </row>
    <row r="181">
      <c r="A181" s="703"/>
      <c r="L181" s="238"/>
    </row>
    <row r="182">
      <c r="A182" s="703"/>
      <c r="L182" s="238"/>
    </row>
    <row r="183">
      <c r="A183" s="703"/>
      <c r="L183" s="238"/>
    </row>
    <row r="184">
      <c r="A184" s="703"/>
      <c r="L184" s="238"/>
    </row>
    <row r="185">
      <c r="A185" s="703"/>
      <c r="L185" s="238"/>
    </row>
    <row r="186">
      <c r="A186" s="703"/>
      <c r="L186" s="238"/>
    </row>
    <row r="187">
      <c r="A187" s="703"/>
      <c r="L187" s="238"/>
    </row>
    <row r="188">
      <c r="A188" s="703"/>
      <c r="L188" s="238"/>
    </row>
    <row r="189">
      <c r="A189" s="703"/>
      <c r="L189" s="238"/>
    </row>
    <row r="190">
      <c r="A190" s="703"/>
      <c r="L190" s="238"/>
    </row>
    <row r="191">
      <c r="A191" s="703"/>
      <c r="L191" s="238"/>
    </row>
    <row r="192">
      <c r="A192" s="703"/>
      <c r="L192" s="238"/>
    </row>
    <row r="193">
      <c r="A193" s="703"/>
      <c r="L193" s="238"/>
    </row>
    <row r="194">
      <c r="A194" s="703"/>
      <c r="L194" s="238"/>
    </row>
    <row r="195">
      <c r="A195" s="703"/>
      <c r="L195" s="238"/>
    </row>
    <row r="196">
      <c r="A196" s="703"/>
      <c r="L196" s="238"/>
    </row>
    <row r="197">
      <c r="A197" s="703"/>
      <c r="L197" s="238"/>
    </row>
    <row r="198">
      <c r="A198" s="703"/>
      <c r="L198" s="238"/>
    </row>
    <row r="199">
      <c r="A199" s="703"/>
      <c r="L199" s="238"/>
    </row>
    <row r="200">
      <c r="A200" s="703"/>
      <c r="L200" s="238"/>
    </row>
    <row r="201">
      <c r="A201" s="703"/>
      <c r="L201" s="238"/>
    </row>
    <row r="202">
      <c r="A202" s="703"/>
      <c r="L202" s="238"/>
    </row>
    <row r="203">
      <c r="A203" s="703"/>
      <c r="L203" s="238"/>
    </row>
    <row r="204">
      <c r="A204" s="703"/>
      <c r="L204" s="238"/>
    </row>
    <row r="205">
      <c r="A205" s="703"/>
      <c r="L205" s="238"/>
    </row>
    <row r="206">
      <c r="A206" s="703"/>
      <c r="L206" s="238"/>
    </row>
    <row r="207">
      <c r="A207" s="703"/>
      <c r="L207" s="238"/>
    </row>
    <row r="208">
      <c r="A208" s="703"/>
      <c r="L208" s="238"/>
    </row>
    <row r="209">
      <c r="A209" s="703"/>
      <c r="L209" s="238"/>
    </row>
    <row r="210">
      <c r="A210" s="703"/>
      <c r="L210" s="238"/>
    </row>
    <row r="211">
      <c r="A211" s="703"/>
      <c r="L211" s="238"/>
    </row>
    <row r="212">
      <c r="A212" s="703"/>
      <c r="L212" s="238"/>
    </row>
    <row r="213">
      <c r="A213" s="703"/>
      <c r="L213" s="238"/>
    </row>
    <row r="214">
      <c r="A214" s="703"/>
      <c r="L214" s="238"/>
    </row>
    <row r="215">
      <c r="A215" s="703"/>
      <c r="L215" s="238"/>
    </row>
    <row r="216">
      <c r="A216" s="703"/>
      <c r="L216" s="238"/>
    </row>
    <row r="217">
      <c r="A217" s="703"/>
      <c r="L217" s="238"/>
    </row>
    <row r="218">
      <c r="A218" s="703"/>
      <c r="L218" s="238"/>
    </row>
    <row r="219">
      <c r="A219" s="703"/>
      <c r="L219" s="238"/>
    </row>
    <row r="220">
      <c r="A220" s="703"/>
      <c r="L220" s="238"/>
    </row>
    <row r="221">
      <c r="A221" s="703"/>
      <c r="L221" s="238"/>
    </row>
    <row r="222">
      <c r="A222" s="703"/>
      <c r="L222" s="238"/>
    </row>
    <row r="223">
      <c r="A223" s="703"/>
      <c r="L223" s="238"/>
    </row>
    <row r="224">
      <c r="A224" s="703"/>
      <c r="L224" s="238"/>
    </row>
    <row r="225">
      <c r="A225" s="703"/>
      <c r="L225" s="238"/>
    </row>
    <row r="226">
      <c r="A226" s="703"/>
      <c r="L226" s="238"/>
    </row>
    <row r="227">
      <c r="A227" s="703"/>
      <c r="L227" s="238"/>
    </row>
    <row r="228">
      <c r="A228" s="703"/>
      <c r="L228" s="238"/>
    </row>
    <row r="229">
      <c r="A229" s="703"/>
      <c r="L229" s="238"/>
    </row>
    <row r="230">
      <c r="A230" s="703"/>
      <c r="L230" s="238"/>
    </row>
    <row r="231">
      <c r="A231" s="703"/>
      <c r="L231" s="238"/>
    </row>
    <row r="232">
      <c r="A232" s="703"/>
      <c r="L232" s="238"/>
    </row>
    <row r="233">
      <c r="A233" s="703"/>
      <c r="L233" s="238"/>
    </row>
    <row r="234">
      <c r="A234" s="703"/>
      <c r="L234" s="238"/>
    </row>
    <row r="235">
      <c r="A235" s="703"/>
      <c r="L235" s="238"/>
    </row>
    <row r="236">
      <c r="A236" s="703"/>
      <c r="L236" s="238"/>
    </row>
    <row r="237">
      <c r="A237" s="703"/>
      <c r="L237" s="238"/>
    </row>
    <row r="238">
      <c r="A238" s="703"/>
      <c r="L238" s="238"/>
    </row>
    <row r="239">
      <c r="A239" s="703"/>
      <c r="L239" s="238"/>
    </row>
    <row r="240">
      <c r="A240" s="703"/>
      <c r="L240" s="238"/>
    </row>
    <row r="241">
      <c r="A241" s="703"/>
      <c r="L241" s="238"/>
    </row>
    <row r="242">
      <c r="A242" s="703"/>
      <c r="L242" s="238"/>
    </row>
    <row r="243">
      <c r="A243" s="703"/>
      <c r="L243" s="238"/>
    </row>
    <row r="244">
      <c r="A244" s="703"/>
      <c r="L244" s="238"/>
    </row>
    <row r="245">
      <c r="A245" s="703"/>
      <c r="L245" s="238"/>
    </row>
    <row r="246">
      <c r="A246" s="703"/>
      <c r="L246" s="238"/>
    </row>
    <row r="247">
      <c r="A247" s="703"/>
      <c r="L247" s="238"/>
    </row>
    <row r="248">
      <c r="A248" s="703"/>
      <c r="L248" s="238"/>
    </row>
    <row r="249">
      <c r="A249" s="703"/>
      <c r="L249" s="238"/>
    </row>
    <row r="250">
      <c r="A250" s="703"/>
      <c r="L250" s="238"/>
    </row>
    <row r="251">
      <c r="A251" s="703"/>
      <c r="L251" s="238"/>
    </row>
    <row r="252">
      <c r="A252" s="703"/>
      <c r="L252" s="238"/>
    </row>
    <row r="253">
      <c r="A253" s="703"/>
      <c r="L253" s="238"/>
    </row>
    <row r="254">
      <c r="A254" s="703"/>
      <c r="L254" s="238"/>
    </row>
    <row r="255">
      <c r="A255" s="703"/>
      <c r="L255" s="238"/>
    </row>
    <row r="256">
      <c r="A256" s="703"/>
      <c r="L256" s="238"/>
    </row>
    <row r="257">
      <c r="A257" s="703"/>
      <c r="L257" s="238"/>
    </row>
    <row r="258">
      <c r="A258" s="703"/>
      <c r="L258" s="238"/>
    </row>
    <row r="259">
      <c r="A259" s="703"/>
      <c r="L259" s="238"/>
    </row>
    <row r="260">
      <c r="A260" s="703"/>
      <c r="L260" s="238"/>
    </row>
    <row r="261">
      <c r="A261" s="703"/>
      <c r="L261" s="238"/>
    </row>
    <row r="262">
      <c r="A262" s="703"/>
      <c r="L262" s="238"/>
    </row>
    <row r="263">
      <c r="A263" s="703"/>
      <c r="L263" s="238"/>
    </row>
    <row r="264">
      <c r="A264" s="703"/>
      <c r="L264" s="238"/>
    </row>
    <row r="265">
      <c r="A265" s="703"/>
      <c r="L265" s="238"/>
    </row>
    <row r="266">
      <c r="A266" s="703"/>
      <c r="L266" s="238"/>
    </row>
    <row r="267">
      <c r="A267" s="703"/>
      <c r="L267" s="238"/>
    </row>
    <row r="268">
      <c r="A268" s="703"/>
      <c r="L268" s="238"/>
    </row>
    <row r="269">
      <c r="A269" s="703"/>
      <c r="L269" s="238"/>
    </row>
    <row r="270">
      <c r="A270" s="703"/>
      <c r="L270" s="238"/>
    </row>
    <row r="271">
      <c r="A271" s="703"/>
      <c r="L271" s="238"/>
    </row>
    <row r="272">
      <c r="A272" s="703"/>
      <c r="L272" s="238"/>
    </row>
    <row r="273">
      <c r="A273" s="703"/>
      <c r="L273" s="238"/>
    </row>
    <row r="274">
      <c r="A274" s="703"/>
      <c r="L274" s="238"/>
    </row>
    <row r="275">
      <c r="A275" s="703"/>
      <c r="L275" s="238"/>
    </row>
    <row r="276">
      <c r="A276" s="703"/>
      <c r="L276" s="238"/>
    </row>
    <row r="277">
      <c r="A277" s="703"/>
      <c r="L277" s="238"/>
    </row>
    <row r="278">
      <c r="A278" s="703"/>
      <c r="L278" s="238"/>
    </row>
    <row r="279">
      <c r="A279" s="703"/>
      <c r="L279" s="238"/>
    </row>
    <row r="280">
      <c r="A280" s="703"/>
      <c r="L280" s="238"/>
    </row>
    <row r="281">
      <c r="A281" s="703"/>
      <c r="L281" s="238"/>
    </row>
    <row r="282">
      <c r="A282" s="703"/>
      <c r="L282" s="238"/>
    </row>
    <row r="283">
      <c r="A283" s="703"/>
      <c r="L283" s="238"/>
    </row>
    <row r="284">
      <c r="A284" s="703"/>
      <c r="L284" s="238"/>
    </row>
    <row r="285">
      <c r="A285" s="703"/>
      <c r="L285" s="238"/>
    </row>
    <row r="286">
      <c r="A286" s="703"/>
      <c r="L286" s="238"/>
    </row>
    <row r="287">
      <c r="A287" s="703"/>
      <c r="L287" s="238"/>
    </row>
    <row r="288">
      <c r="A288" s="703"/>
      <c r="L288" s="238"/>
    </row>
    <row r="289">
      <c r="A289" s="703"/>
      <c r="L289" s="238"/>
    </row>
    <row r="290">
      <c r="A290" s="703"/>
      <c r="L290" s="238"/>
    </row>
    <row r="291">
      <c r="A291" s="703"/>
      <c r="L291" s="238"/>
    </row>
    <row r="292">
      <c r="A292" s="703"/>
      <c r="L292" s="238"/>
    </row>
    <row r="293">
      <c r="A293" s="703"/>
      <c r="L293" s="238"/>
    </row>
    <row r="294">
      <c r="A294" s="703"/>
      <c r="L294" s="238"/>
    </row>
    <row r="295">
      <c r="A295" s="703"/>
      <c r="L295" s="238"/>
    </row>
    <row r="296">
      <c r="A296" s="703"/>
      <c r="L296" s="238"/>
    </row>
    <row r="297">
      <c r="A297" s="703"/>
      <c r="L297" s="238"/>
    </row>
    <row r="298">
      <c r="A298" s="703"/>
      <c r="L298" s="238"/>
    </row>
    <row r="299">
      <c r="A299" s="703"/>
      <c r="L299" s="238"/>
    </row>
    <row r="300">
      <c r="A300" s="703"/>
      <c r="L300" s="238"/>
    </row>
    <row r="301">
      <c r="A301" s="703"/>
      <c r="L301" s="238"/>
    </row>
    <row r="302">
      <c r="A302" s="703"/>
      <c r="L302" s="238"/>
    </row>
    <row r="303">
      <c r="A303" s="703"/>
      <c r="L303" s="238"/>
    </row>
    <row r="304">
      <c r="A304" s="703"/>
      <c r="L304" s="238"/>
    </row>
    <row r="305">
      <c r="A305" s="703"/>
      <c r="L305" s="238"/>
    </row>
    <row r="306">
      <c r="A306" s="703"/>
      <c r="L306" s="238"/>
    </row>
    <row r="307">
      <c r="A307" s="703"/>
      <c r="L307" s="238"/>
    </row>
    <row r="308">
      <c r="A308" s="703"/>
      <c r="L308" s="238"/>
    </row>
    <row r="309">
      <c r="A309" s="703"/>
      <c r="L309" s="238"/>
    </row>
    <row r="310">
      <c r="A310" s="703"/>
      <c r="L310" s="238"/>
    </row>
    <row r="311">
      <c r="A311" s="703"/>
      <c r="L311" s="238"/>
    </row>
    <row r="312">
      <c r="A312" s="703"/>
      <c r="L312" s="238"/>
    </row>
    <row r="313">
      <c r="A313" s="703"/>
      <c r="L313" s="238"/>
    </row>
    <row r="314">
      <c r="A314" s="703"/>
      <c r="L314" s="238"/>
    </row>
    <row r="315">
      <c r="A315" s="703"/>
      <c r="L315" s="238"/>
    </row>
    <row r="316">
      <c r="A316" s="703"/>
      <c r="L316" s="238"/>
    </row>
    <row r="317">
      <c r="A317" s="703"/>
      <c r="L317" s="238"/>
    </row>
    <row r="318">
      <c r="A318" s="703"/>
      <c r="L318" s="238"/>
    </row>
    <row r="319">
      <c r="A319" s="703"/>
      <c r="L319" s="238"/>
    </row>
    <row r="320">
      <c r="A320" s="703"/>
      <c r="L320" s="238"/>
    </row>
    <row r="321">
      <c r="A321" s="703"/>
      <c r="L321" s="238"/>
    </row>
    <row r="322">
      <c r="A322" s="703"/>
      <c r="L322" s="238"/>
    </row>
    <row r="323">
      <c r="A323" s="703"/>
      <c r="L323" s="238"/>
    </row>
    <row r="324">
      <c r="A324" s="703"/>
      <c r="L324" s="238"/>
    </row>
    <row r="325">
      <c r="A325" s="703"/>
      <c r="L325" s="238"/>
    </row>
    <row r="326">
      <c r="A326" s="703"/>
      <c r="L326" s="238"/>
    </row>
    <row r="327">
      <c r="A327" s="703"/>
      <c r="L327" s="238"/>
    </row>
    <row r="328">
      <c r="A328" s="703"/>
      <c r="L328" s="238"/>
    </row>
    <row r="329">
      <c r="A329" s="703"/>
      <c r="L329" s="238"/>
    </row>
    <row r="330">
      <c r="A330" s="703"/>
      <c r="L330" s="238"/>
    </row>
    <row r="331">
      <c r="A331" s="703"/>
      <c r="L331" s="238"/>
    </row>
    <row r="332">
      <c r="A332" s="703"/>
      <c r="L332" s="238"/>
    </row>
    <row r="333">
      <c r="A333" s="703"/>
      <c r="L333" s="238"/>
    </row>
    <row r="334">
      <c r="A334" s="703"/>
      <c r="L334" s="238"/>
    </row>
    <row r="335">
      <c r="A335" s="703"/>
      <c r="L335" s="238"/>
    </row>
    <row r="336">
      <c r="A336" s="703"/>
      <c r="L336" s="238"/>
    </row>
    <row r="337">
      <c r="A337" s="703"/>
      <c r="L337" s="238"/>
    </row>
    <row r="338">
      <c r="A338" s="703"/>
      <c r="L338" s="238"/>
    </row>
    <row r="339">
      <c r="A339" s="703"/>
      <c r="L339" s="238"/>
    </row>
    <row r="340">
      <c r="A340" s="703"/>
      <c r="L340" s="238"/>
    </row>
    <row r="341">
      <c r="A341" s="703"/>
      <c r="L341" s="238"/>
    </row>
    <row r="342">
      <c r="A342" s="703"/>
      <c r="L342" s="238"/>
    </row>
    <row r="343">
      <c r="A343" s="703"/>
      <c r="L343" s="238"/>
    </row>
    <row r="344">
      <c r="A344" s="703"/>
      <c r="L344" s="238"/>
    </row>
    <row r="345">
      <c r="A345" s="703"/>
      <c r="L345" s="238"/>
    </row>
    <row r="346">
      <c r="A346" s="703"/>
      <c r="L346" s="238"/>
    </row>
    <row r="347">
      <c r="A347" s="703"/>
      <c r="L347" s="238"/>
    </row>
    <row r="348">
      <c r="A348" s="703"/>
      <c r="L348" s="238"/>
    </row>
    <row r="349">
      <c r="A349" s="703"/>
      <c r="L349" s="238"/>
    </row>
    <row r="350">
      <c r="A350" s="703"/>
      <c r="L350" s="238"/>
    </row>
    <row r="351">
      <c r="A351" s="703"/>
      <c r="L351" s="238"/>
    </row>
    <row r="352">
      <c r="A352" s="703"/>
      <c r="L352" s="238"/>
    </row>
    <row r="353">
      <c r="A353" s="703"/>
      <c r="L353" s="238"/>
    </row>
    <row r="354">
      <c r="A354" s="703"/>
      <c r="L354" s="238"/>
    </row>
    <row r="355">
      <c r="A355" s="703"/>
      <c r="L355" s="238"/>
    </row>
    <row r="356">
      <c r="A356" s="703"/>
      <c r="L356" s="238"/>
    </row>
    <row r="357">
      <c r="A357" s="703"/>
      <c r="L357" s="238"/>
    </row>
    <row r="358">
      <c r="A358" s="703"/>
      <c r="L358" s="238"/>
    </row>
    <row r="359">
      <c r="A359" s="703"/>
      <c r="L359" s="238"/>
    </row>
    <row r="360">
      <c r="A360" s="703"/>
      <c r="L360" s="238"/>
    </row>
    <row r="361">
      <c r="A361" s="703"/>
      <c r="L361" s="238"/>
    </row>
    <row r="362">
      <c r="A362" s="703"/>
      <c r="L362" s="238"/>
    </row>
    <row r="363">
      <c r="A363" s="703"/>
      <c r="L363" s="238"/>
    </row>
    <row r="364">
      <c r="A364" s="703"/>
      <c r="L364" s="238"/>
    </row>
    <row r="365">
      <c r="A365" s="703"/>
      <c r="L365" s="238"/>
    </row>
    <row r="366">
      <c r="A366" s="703"/>
      <c r="L366" s="238"/>
    </row>
    <row r="367">
      <c r="A367" s="703"/>
      <c r="L367" s="238"/>
    </row>
    <row r="368">
      <c r="A368" s="703"/>
      <c r="L368" s="238"/>
    </row>
    <row r="369">
      <c r="A369" s="703"/>
      <c r="L369" s="238"/>
    </row>
    <row r="370">
      <c r="A370" s="703"/>
      <c r="L370" s="238"/>
    </row>
    <row r="371">
      <c r="A371" s="703"/>
      <c r="L371" s="238"/>
    </row>
    <row r="372">
      <c r="A372" s="703"/>
      <c r="L372" s="238"/>
    </row>
    <row r="373">
      <c r="A373" s="703"/>
      <c r="L373" s="238"/>
    </row>
    <row r="374">
      <c r="A374" s="703"/>
      <c r="L374" s="238"/>
    </row>
    <row r="375">
      <c r="A375" s="703"/>
      <c r="L375" s="238"/>
    </row>
    <row r="376">
      <c r="A376" s="703"/>
      <c r="L376" s="238"/>
    </row>
    <row r="377">
      <c r="A377" s="703"/>
      <c r="L377" s="238"/>
    </row>
    <row r="378">
      <c r="A378" s="703"/>
      <c r="L378" s="238"/>
    </row>
    <row r="379">
      <c r="A379" s="703"/>
      <c r="L379" s="238"/>
    </row>
    <row r="380">
      <c r="A380" s="703"/>
      <c r="L380" s="238"/>
    </row>
    <row r="381">
      <c r="A381" s="703"/>
      <c r="L381" s="238"/>
    </row>
    <row r="382">
      <c r="A382" s="703"/>
      <c r="L382" s="238"/>
    </row>
    <row r="383">
      <c r="A383" s="703"/>
      <c r="L383" s="238"/>
    </row>
    <row r="384">
      <c r="A384" s="703"/>
      <c r="L384" s="238"/>
    </row>
    <row r="385">
      <c r="A385" s="703"/>
      <c r="L385" s="238"/>
    </row>
    <row r="386">
      <c r="A386" s="703"/>
      <c r="L386" s="238"/>
    </row>
    <row r="387">
      <c r="A387" s="703"/>
      <c r="L387" s="238"/>
    </row>
    <row r="388">
      <c r="A388" s="703"/>
      <c r="L388" s="238"/>
    </row>
    <row r="389">
      <c r="A389" s="703"/>
      <c r="L389" s="238"/>
    </row>
    <row r="390">
      <c r="A390" s="703"/>
      <c r="L390" s="238"/>
    </row>
    <row r="391">
      <c r="A391" s="703"/>
      <c r="L391" s="238"/>
    </row>
    <row r="392">
      <c r="A392" s="703"/>
      <c r="L392" s="238"/>
    </row>
    <row r="393">
      <c r="A393" s="703"/>
      <c r="L393" s="238"/>
    </row>
    <row r="394">
      <c r="A394" s="703"/>
      <c r="L394" s="238"/>
    </row>
    <row r="395">
      <c r="A395" s="703"/>
      <c r="L395" s="238"/>
    </row>
    <row r="396">
      <c r="A396" s="703"/>
      <c r="L396" s="238"/>
    </row>
    <row r="397">
      <c r="A397" s="703"/>
      <c r="L397" s="238"/>
    </row>
    <row r="398">
      <c r="A398" s="703"/>
      <c r="L398" s="238"/>
    </row>
    <row r="399">
      <c r="A399" s="703"/>
      <c r="L399" s="238"/>
    </row>
    <row r="400">
      <c r="A400" s="703"/>
      <c r="L400" s="238"/>
    </row>
    <row r="401">
      <c r="A401" s="703"/>
      <c r="L401" s="238"/>
    </row>
    <row r="402">
      <c r="A402" s="703"/>
      <c r="L402" s="238"/>
    </row>
    <row r="403">
      <c r="A403" s="703"/>
      <c r="L403" s="238"/>
    </row>
    <row r="404">
      <c r="A404" s="703"/>
      <c r="L404" s="238"/>
    </row>
    <row r="405">
      <c r="A405" s="703"/>
      <c r="L405" s="238"/>
    </row>
    <row r="406">
      <c r="A406" s="703"/>
      <c r="L406" s="238"/>
    </row>
    <row r="407">
      <c r="A407" s="703"/>
      <c r="L407" s="238"/>
    </row>
    <row r="408">
      <c r="A408" s="703"/>
      <c r="L408" s="238"/>
    </row>
    <row r="409">
      <c r="A409" s="703"/>
      <c r="L409" s="238"/>
    </row>
    <row r="410">
      <c r="A410" s="703"/>
      <c r="L410" s="238"/>
    </row>
    <row r="411">
      <c r="A411" s="703"/>
      <c r="L411" s="238"/>
    </row>
    <row r="412">
      <c r="A412" s="703"/>
      <c r="L412" s="238"/>
    </row>
    <row r="413">
      <c r="A413" s="703"/>
      <c r="L413" s="238"/>
    </row>
    <row r="414">
      <c r="A414" s="703"/>
      <c r="L414" s="238"/>
    </row>
    <row r="415">
      <c r="A415" s="703"/>
      <c r="L415" s="238"/>
    </row>
    <row r="416">
      <c r="A416" s="703"/>
      <c r="L416" s="238"/>
    </row>
    <row r="417">
      <c r="A417" s="703"/>
      <c r="L417" s="238"/>
    </row>
    <row r="418">
      <c r="A418" s="703"/>
      <c r="L418" s="238"/>
    </row>
    <row r="419">
      <c r="A419" s="703"/>
      <c r="L419" s="238"/>
    </row>
    <row r="420">
      <c r="A420" s="703"/>
      <c r="L420" s="238"/>
    </row>
    <row r="421">
      <c r="A421" s="703"/>
      <c r="L421" s="238"/>
    </row>
    <row r="422">
      <c r="A422" s="703"/>
      <c r="L422" s="238"/>
    </row>
    <row r="423">
      <c r="A423" s="703"/>
      <c r="L423" s="238"/>
    </row>
    <row r="424">
      <c r="A424" s="703"/>
      <c r="L424" s="238"/>
    </row>
    <row r="425">
      <c r="A425" s="703"/>
      <c r="L425" s="238"/>
    </row>
    <row r="426">
      <c r="A426" s="703"/>
      <c r="L426" s="238"/>
    </row>
    <row r="427">
      <c r="A427" s="703"/>
      <c r="L427" s="238"/>
    </row>
    <row r="428">
      <c r="A428" s="703"/>
      <c r="L428" s="238"/>
    </row>
    <row r="429">
      <c r="A429" s="703"/>
      <c r="L429" s="238"/>
    </row>
    <row r="430">
      <c r="A430" s="703"/>
      <c r="L430" s="238"/>
    </row>
    <row r="431">
      <c r="A431" s="703"/>
      <c r="L431" s="238"/>
    </row>
    <row r="432">
      <c r="A432" s="703"/>
      <c r="L432" s="238"/>
    </row>
    <row r="433">
      <c r="A433" s="703"/>
      <c r="L433" s="238"/>
    </row>
    <row r="434">
      <c r="A434" s="703"/>
      <c r="L434" s="238"/>
    </row>
    <row r="435">
      <c r="A435" s="703"/>
      <c r="L435" s="238"/>
    </row>
    <row r="436">
      <c r="A436" s="703"/>
      <c r="L436" s="238"/>
    </row>
    <row r="437">
      <c r="A437" s="703"/>
      <c r="L437" s="238"/>
    </row>
    <row r="438">
      <c r="A438" s="703"/>
      <c r="L438" s="238"/>
    </row>
    <row r="439">
      <c r="A439" s="703"/>
      <c r="L439" s="238"/>
    </row>
    <row r="440">
      <c r="A440" s="703"/>
      <c r="L440" s="238"/>
    </row>
    <row r="441">
      <c r="A441" s="703"/>
      <c r="L441" s="238"/>
    </row>
    <row r="442">
      <c r="A442" s="703"/>
      <c r="L442" s="238"/>
    </row>
    <row r="443">
      <c r="A443" s="703"/>
      <c r="L443" s="238"/>
    </row>
    <row r="444">
      <c r="A444" s="703"/>
      <c r="L444" s="238"/>
    </row>
    <row r="445">
      <c r="A445" s="703"/>
      <c r="L445" s="238"/>
    </row>
    <row r="446">
      <c r="A446" s="703"/>
      <c r="L446" s="238"/>
    </row>
    <row r="447">
      <c r="A447" s="703"/>
      <c r="L447" s="238"/>
    </row>
    <row r="448">
      <c r="A448" s="703"/>
      <c r="L448" s="238"/>
    </row>
    <row r="449">
      <c r="A449" s="703"/>
      <c r="L449" s="238"/>
    </row>
    <row r="450">
      <c r="A450" s="703"/>
      <c r="L450" s="238"/>
    </row>
    <row r="451">
      <c r="A451" s="703"/>
      <c r="L451" s="238"/>
    </row>
    <row r="452">
      <c r="A452" s="703"/>
      <c r="L452" s="238"/>
    </row>
    <row r="453">
      <c r="A453" s="703"/>
      <c r="L453" s="238"/>
    </row>
    <row r="454">
      <c r="A454" s="703"/>
      <c r="L454" s="238"/>
    </row>
    <row r="455">
      <c r="A455" s="703"/>
      <c r="L455" s="238"/>
    </row>
    <row r="456">
      <c r="A456" s="703"/>
      <c r="L456" s="238"/>
    </row>
    <row r="457">
      <c r="A457" s="703"/>
      <c r="L457" s="238"/>
    </row>
    <row r="458">
      <c r="A458" s="703"/>
      <c r="L458" s="238"/>
    </row>
    <row r="459">
      <c r="A459" s="703"/>
      <c r="L459" s="238"/>
    </row>
    <row r="460">
      <c r="A460" s="703"/>
      <c r="L460" s="238"/>
    </row>
    <row r="461">
      <c r="A461" s="703"/>
      <c r="L461" s="238"/>
    </row>
    <row r="462">
      <c r="A462" s="703"/>
      <c r="L462" s="238"/>
    </row>
    <row r="463">
      <c r="A463" s="703"/>
      <c r="L463" s="238"/>
    </row>
    <row r="464">
      <c r="A464" s="703"/>
      <c r="L464" s="238"/>
    </row>
    <row r="465">
      <c r="A465" s="703"/>
      <c r="L465" s="238"/>
    </row>
    <row r="466">
      <c r="A466" s="703"/>
      <c r="L466" s="238"/>
    </row>
    <row r="467">
      <c r="A467" s="703"/>
      <c r="L467" s="238"/>
    </row>
    <row r="468">
      <c r="A468" s="703"/>
      <c r="L468" s="238"/>
    </row>
    <row r="469">
      <c r="A469" s="703"/>
      <c r="L469" s="238"/>
    </row>
    <row r="470">
      <c r="A470" s="703"/>
      <c r="L470" s="238"/>
    </row>
    <row r="471">
      <c r="A471" s="703"/>
      <c r="L471" s="238"/>
    </row>
    <row r="472">
      <c r="A472" s="703"/>
      <c r="L472" s="238"/>
    </row>
    <row r="473">
      <c r="A473" s="703"/>
      <c r="L473" s="238"/>
    </row>
    <row r="474">
      <c r="A474" s="703"/>
      <c r="L474" s="238"/>
    </row>
    <row r="475">
      <c r="A475" s="703"/>
      <c r="L475" s="238"/>
    </row>
    <row r="476">
      <c r="A476" s="703"/>
      <c r="L476" s="238"/>
    </row>
    <row r="477">
      <c r="A477" s="703"/>
      <c r="L477" s="238"/>
    </row>
    <row r="478">
      <c r="A478" s="703"/>
      <c r="L478" s="238"/>
    </row>
    <row r="479">
      <c r="A479" s="703"/>
      <c r="L479" s="238"/>
    </row>
    <row r="480">
      <c r="A480" s="703"/>
      <c r="L480" s="238"/>
    </row>
    <row r="481">
      <c r="A481" s="703"/>
      <c r="L481" s="238"/>
    </row>
    <row r="482">
      <c r="A482" s="703"/>
      <c r="L482" s="238"/>
    </row>
    <row r="483">
      <c r="A483" s="703"/>
      <c r="L483" s="238"/>
    </row>
    <row r="484">
      <c r="A484" s="703"/>
      <c r="L484" s="238"/>
    </row>
    <row r="485">
      <c r="A485" s="703"/>
      <c r="L485" s="238"/>
    </row>
    <row r="486">
      <c r="A486" s="703"/>
      <c r="L486" s="238"/>
    </row>
    <row r="487">
      <c r="A487" s="703"/>
      <c r="L487" s="238"/>
    </row>
    <row r="488">
      <c r="A488" s="703"/>
      <c r="L488" s="238"/>
    </row>
    <row r="489">
      <c r="A489" s="703"/>
      <c r="L489" s="238"/>
    </row>
    <row r="490">
      <c r="A490" s="703"/>
      <c r="L490" s="238"/>
    </row>
    <row r="491">
      <c r="A491" s="703"/>
      <c r="L491" s="238"/>
    </row>
    <row r="492">
      <c r="A492" s="703"/>
      <c r="L492" s="238"/>
    </row>
    <row r="493">
      <c r="A493" s="703"/>
      <c r="L493" s="238"/>
    </row>
    <row r="494">
      <c r="A494" s="703"/>
      <c r="L494" s="238"/>
    </row>
    <row r="495">
      <c r="A495" s="703"/>
      <c r="L495" s="238"/>
    </row>
    <row r="496">
      <c r="A496" s="703"/>
      <c r="L496" s="238"/>
    </row>
    <row r="497">
      <c r="A497" s="703"/>
      <c r="L497" s="238"/>
    </row>
    <row r="498">
      <c r="A498" s="703"/>
      <c r="L498" s="238"/>
    </row>
    <row r="499">
      <c r="A499" s="703"/>
      <c r="L499" s="238"/>
    </row>
    <row r="500">
      <c r="A500" s="703"/>
      <c r="L500" s="238"/>
    </row>
    <row r="501">
      <c r="A501" s="703"/>
      <c r="L501" s="238"/>
    </row>
    <row r="502">
      <c r="A502" s="703"/>
      <c r="L502" s="238"/>
    </row>
    <row r="503">
      <c r="A503" s="703"/>
      <c r="L503" s="238"/>
    </row>
    <row r="504">
      <c r="A504" s="703"/>
      <c r="L504" s="238"/>
    </row>
    <row r="505">
      <c r="A505" s="703"/>
      <c r="L505" s="238"/>
    </row>
    <row r="506">
      <c r="A506" s="703"/>
      <c r="L506" s="238"/>
    </row>
    <row r="507">
      <c r="A507" s="703"/>
      <c r="L507" s="238"/>
    </row>
    <row r="508">
      <c r="A508" s="703"/>
      <c r="L508" s="238"/>
    </row>
    <row r="509">
      <c r="A509" s="703"/>
      <c r="L509" s="238"/>
    </row>
    <row r="510">
      <c r="A510" s="703"/>
      <c r="L510" s="238"/>
    </row>
    <row r="511">
      <c r="A511" s="703"/>
      <c r="L511" s="238"/>
    </row>
    <row r="512">
      <c r="A512" s="703"/>
      <c r="L512" s="238"/>
    </row>
    <row r="513">
      <c r="A513" s="703"/>
      <c r="L513" s="238"/>
    </row>
    <row r="514">
      <c r="A514" s="703"/>
      <c r="L514" s="238"/>
    </row>
    <row r="515">
      <c r="A515" s="703"/>
      <c r="L515" s="238"/>
    </row>
    <row r="516">
      <c r="A516" s="703"/>
      <c r="L516" s="238"/>
    </row>
    <row r="517">
      <c r="A517" s="703"/>
      <c r="L517" s="238"/>
    </row>
    <row r="518">
      <c r="A518" s="703"/>
      <c r="L518" s="238"/>
    </row>
    <row r="519">
      <c r="A519" s="703"/>
      <c r="L519" s="238"/>
    </row>
    <row r="520">
      <c r="A520" s="703"/>
      <c r="L520" s="238"/>
    </row>
    <row r="521">
      <c r="A521" s="703"/>
      <c r="L521" s="238"/>
    </row>
    <row r="522">
      <c r="A522" s="703"/>
      <c r="L522" s="238"/>
    </row>
    <row r="523">
      <c r="A523" s="703"/>
      <c r="L523" s="238"/>
    </row>
    <row r="524">
      <c r="A524" s="703"/>
      <c r="L524" s="238"/>
    </row>
    <row r="525">
      <c r="A525" s="703"/>
      <c r="L525" s="238"/>
    </row>
    <row r="526">
      <c r="A526" s="703"/>
      <c r="L526" s="238"/>
    </row>
    <row r="527">
      <c r="A527" s="703"/>
      <c r="L527" s="238"/>
    </row>
    <row r="528">
      <c r="A528" s="703"/>
      <c r="L528" s="238"/>
    </row>
    <row r="529">
      <c r="A529" s="703"/>
      <c r="L529" s="238"/>
    </row>
    <row r="530">
      <c r="A530" s="703"/>
      <c r="L530" s="238"/>
    </row>
    <row r="531">
      <c r="A531" s="703"/>
      <c r="L531" s="238"/>
    </row>
    <row r="532">
      <c r="A532" s="703"/>
      <c r="L532" s="238"/>
    </row>
    <row r="533">
      <c r="A533" s="703"/>
      <c r="L533" s="238"/>
    </row>
    <row r="534">
      <c r="A534" s="703"/>
      <c r="L534" s="238"/>
    </row>
    <row r="535">
      <c r="A535" s="703"/>
      <c r="L535" s="238"/>
    </row>
    <row r="536">
      <c r="A536" s="703"/>
      <c r="L536" s="238"/>
    </row>
    <row r="537">
      <c r="A537" s="703"/>
      <c r="L537" s="238"/>
    </row>
    <row r="538">
      <c r="A538" s="703"/>
      <c r="L538" s="238"/>
    </row>
    <row r="539">
      <c r="A539" s="703"/>
      <c r="L539" s="238"/>
    </row>
    <row r="540">
      <c r="A540" s="703"/>
      <c r="L540" s="238"/>
    </row>
    <row r="541">
      <c r="A541" s="703"/>
      <c r="L541" s="238"/>
    </row>
    <row r="542">
      <c r="A542" s="703"/>
      <c r="L542" s="238"/>
    </row>
    <row r="543">
      <c r="A543" s="703"/>
      <c r="L543" s="238"/>
    </row>
    <row r="544">
      <c r="A544" s="703"/>
      <c r="L544" s="238"/>
    </row>
    <row r="545">
      <c r="A545" s="703"/>
      <c r="L545" s="238"/>
    </row>
    <row r="546">
      <c r="A546" s="703"/>
      <c r="L546" s="238"/>
    </row>
    <row r="547">
      <c r="A547" s="703"/>
      <c r="L547" s="238"/>
    </row>
    <row r="548">
      <c r="A548" s="703"/>
      <c r="L548" s="238"/>
    </row>
    <row r="549">
      <c r="A549" s="703"/>
      <c r="L549" s="238"/>
    </row>
    <row r="550">
      <c r="A550" s="703"/>
      <c r="L550" s="238"/>
    </row>
    <row r="551">
      <c r="A551" s="703"/>
      <c r="L551" s="238"/>
    </row>
    <row r="552">
      <c r="A552" s="703"/>
      <c r="L552" s="238"/>
    </row>
    <row r="553">
      <c r="A553" s="703"/>
      <c r="L553" s="238"/>
    </row>
    <row r="554">
      <c r="A554" s="703"/>
      <c r="L554" s="238"/>
    </row>
    <row r="555">
      <c r="A555" s="703"/>
      <c r="L555" s="238"/>
    </row>
    <row r="556">
      <c r="A556" s="703"/>
      <c r="L556" s="238"/>
    </row>
    <row r="557">
      <c r="A557" s="703"/>
      <c r="L557" s="238"/>
    </row>
    <row r="558">
      <c r="A558" s="703"/>
      <c r="L558" s="238"/>
    </row>
    <row r="559">
      <c r="A559" s="703"/>
      <c r="L559" s="238"/>
    </row>
    <row r="560">
      <c r="A560" s="703"/>
      <c r="L560" s="238"/>
    </row>
    <row r="561">
      <c r="A561" s="703"/>
      <c r="L561" s="238"/>
    </row>
    <row r="562">
      <c r="A562" s="703"/>
      <c r="L562" s="238"/>
    </row>
    <row r="563">
      <c r="A563" s="703"/>
      <c r="L563" s="238"/>
    </row>
    <row r="564">
      <c r="A564" s="703"/>
      <c r="L564" s="238"/>
    </row>
    <row r="565">
      <c r="A565" s="703"/>
      <c r="L565" s="238"/>
    </row>
    <row r="566">
      <c r="A566" s="703"/>
      <c r="L566" s="238"/>
    </row>
    <row r="567">
      <c r="A567" s="703"/>
      <c r="L567" s="238"/>
    </row>
    <row r="568">
      <c r="A568" s="703"/>
      <c r="L568" s="238"/>
    </row>
    <row r="569">
      <c r="A569" s="703"/>
      <c r="L569" s="238"/>
    </row>
    <row r="570">
      <c r="A570" s="703"/>
      <c r="L570" s="238"/>
    </row>
    <row r="571">
      <c r="A571" s="703"/>
      <c r="L571" s="238"/>
    </row>
    <row r="572">
      <c r="A572" s="703"/>
      <c r="L572" s="238"/>
    </row>
    <row r="573">
      <c r="A573" s="703"/>
      <c r="L573" s="238"/>
    </row>
    <row r="574">
      <c r="A574" s="703"/>
      <c r="L574" s="238"/>
    </row>
    <row r="575">
      <c r="A575" s="703"/>
      <c r="L575" s="238"/>
    </row>
    <row r="576">
      <c r="A576" s="703"/>
      <c r="L576" s="238"/>
    </row>
    <row r="577">
      <c r="A577" s="703"/>
      <c r="L577" s="238"/>
    </row>
    <row r="578">
      <c r="A578" s="703"/>
      <c r="L578" s="238"/>
    </row>
    <row r="579">
      <c r="A579" s="703"/>
      <c r="L579" s="238"/>
    </row>
    <row r="580">
      <c r="A580" s="703"/>
      <c r="L580" s="238"/>
    </row>
    <row r="581">
      <c r="A581" s="703"/>
      <c r="L581" s="238"/>
    </row>
    <row r="582">
      <c r="A582" s="703"/>
      <c r="L582" s="238"/>
    </row>
    <row r="583">
      <c r="A583" s="703"/>
      <c r="L583" s="238"/>
    </row>
    <row r="584">
      <c r="A584" s="703"/>
      <c r="L584" s="238"/>
    </row>
    <row r="585">
      <c r="A585" s="703"/>
      <c r="L585" s="238"/>
    </row>
    <row r="586">
      <c r="A586" s="703"/>
      <c r="L586" s="238"/>
    </row>
    <row r="587">
      <c r="A587" s="703"/>
      <c r="L587" s="238"/>
    </row>
    <row r="588">
      <c r="A588" s="703"/>
      <c r="L588" s="238"/>
    </row>
    <row r="589">
      <c r="A589" s="703"/>
      <c r="L589" s="238"/>
    </row>
    <row r="590">
      <c r="A590" s="703"/>
      <c r="L590" s="238"/>
    </row>
    <row r="591">
      <c r="A591" s="703"/>
      <c r="L591" s="238"/>
    </row>
    <row r="592">
      <c r="A592" s="703"/>
      <c r="L592" s="238"/>
    </row>
    <row r="593">
      <c r="A593" s="703"/>
      <c r="L593" s="238"/>
    </row>
    <row r="594">
      <c r="A594" s="703"/>
      <c r="L594" s="238"/>
    </row>
    <row r="595">
      <c r="A595" s="703"/>
      <c r="L595" s="238"/>
    </row>
    <row r="596">
      <c r="A596" s="703"/>
      <c r="L596" s="238"/>
    </row>
    <row r="597">
      <c r="A597" s="703"/>
      <c r="L597" s="238"/>
    </row>
    <row r="598">
      <c r="A598" s="703"/>
      <c r="L598" s="238"/>
    </row>
    <row r="599">
      <c r="A599" s="703"/>
      <c r="L599" s="238"/>
    </row>
    <row r="600">
      <c r="A600" s="703"/>
      <c r="L600" s="238"/>
    </row>
    <row r="601">
      <c r="A601" s="703"/>
      <c r="L601" s="238"/>
    </row>
    <row r="602">
      <c r="A602" s="703"/>
      <c r="L602" s="238"/>
    </row>
    <row r="603">
      <c r="A603" s="703"/>
      <c r="L603" s="238"/>
    </row>
    <row r="604">
      <c r="A604" s="703"/>
      <c r="L604" s="238"/>
    </row>
    <row r="605">
      <c r="A605" s="703"/>
      <c r="L605" s="238"/>
    </row>
    <row r="606">
      <c r="A606" s="703"/>
      <c r="L606" s="238"/>
    </row>
    <row r="607">
      <c r="A607" s="703"/>
      <c r="L607" s="238"/>
    </row>
    <row r="608">
      <c r="A608" s="703"/>
      <c r="L608" s="238"/>
    </row>
    <row r="609">
      <c r="A609" s="703"/>
      <c r="L609" s="238"/>
    </row>
    <row r="610">
      <c r="A610" s="703"/>
      <c r="L610" s="238"/>
    </row>
    <row r="611">
      <c r="A611" s="703"/>
      <c r="L611" s="238"/>
    </row>
    <row r="612">
      <c r="A612" s="703"/>
      <c r="L612" s="238"/>
    </row>
    <row r="613">
      <c r="A613" s="703"/>
      <c r="L613" s="238"/>
    </row>
    <row r="614">
      <c r="A614" s="703"/>
      <c r="L614" s="238"/>
    </row>
    <row r="615">
      <c r="A615" s="703"/>
      <c r="L615" s="238"/>
    </row>
    <row r="616">
      <c r="A616" s="703"/>
      <c r="L616" s="238"/>
    </row>
    <row r="617">
      <c r="A617" s="703"/>
      <c r="L617" s="238"/>
    </row>
    <row r="618">
      <c r="A618" s="703"/>
      <c r="L618" s="238"/>
    </row>
    <row r="619">
      <c r="A619" s="703"/>
      <c r="L619" s="238"/>
    </row>
    <row r="620">
      <c r="A620" s="703"/>
      <c r="L620" s="238"/>
    </row>
    <row r="621">
      <c r="A621" s="703"/>
      <c r="L621" s="238"/>
    </row>
    <row r="622">
      <c r="A622" s="703"/>
      <c r="L622" s="238"/>
    </row>
    <row r="623">
      <c r="A623" s="703"/>
      <c r="L623" s="238"/>
    </row>
    <row r="624">
      <c r="A624" s="703"/>
      <c r="L624" s="238"/>
    </row>
    <row r="625">
      <c r="A625" s="703"/>
      <c r="L625" s="238"/>
    </row>
    <row r="626">
      <c r="A626" s="703"/>
      <c r="L626" s="238"/>
    </row>
    <row r="627">
      <c r="A627" s="703"/>
      <c r="L627" s="238"/>
    </row>
    <row r="628">
      <c r="A628" s="703"/>
      <c r="L628" s="238"/>
    </row>
    <row r="629">
      <c r="A629" s="703"/>
      <c r="L629" s="238"/>
    </row>
    <row r="630">
      <c r="A630" s="703"/>
      <c r="L630" s="238"/>
    </row>
    <row r="631">
      <c r="A631" s="703"/>
      <c r="L631" s="238"/>
    </row>
    <row r="632">
      <c r="A632" s="703"/>
      <c r="L632" s="238"/>
    </row>
    <row r="633">
      <c r="A633" s="703"/>
      <c r="L633" s="238"/>
    </row>
    <row r="634">
      <c r="A634" s="703"/>
      <c r="L634" s="238"/>
    </row>
    <row r="635">
      <c r="A635" s="703"/>
      <c r="L635" s="238"/>
    </row>
    <row r="636">
      <c r="A636" s="703"/>
      <c r="L636" s="238"/>
    </row>
    <row r="637">
      <c r="A637" s="703"/>
      <c r="L637" s="238"/>
    </row>
    <row r="638">
      <c r="A638" s="703"/>
      <c r="L638" s="238"/>
    </row>
    <row r="639">
      <c r="A639" s="703"/>
      <c r="L639" s="238"/>
    </row>
    <row r="640">
      <c r="A640" s="703"/>
      <c r="L640" s="238"/>
    </row>
    <row r="641">
      <c r="A641" s="703"/>
      <c r="L641" s="238"/>
    </row>
    <row r="642">
      <c r="A642" s="703"/>
      <c r="L642" s="238"/>
    </row>
    <row r="643">
      <c r="A643" s="703"/>
      <c r="L643" s="238"/>
    </row>
    <row r="644">
      <c r="A644" s="703"/>
      <c r="L644" s="238"/>
    </row>
    <row r="645">
      <c r="A645" s="703"/>
      <c r="L645" s="238"/>
    </row>
    <row r="646">
      <c r="A646" s="703"/>
      <c r="L646" s="238"/>
    </row>
    <row r="647">
      <c r="A647" s="703"/>
      <c r="L647" s="238"/>
    </row>
    <row r="648">
      <c r="A648" s="703"/>
      <c r="L648" s="238"/>
    </row>
    <row r="649">
      <c r="A649" s="703"/>
      <c r="L649" s="238"/>
    </row>
    <row r="650">
      <c r="A650" s="703"/>
      <c r="L650" s="238"/>
    </row>
    <row r="651">
      <c r="A651" s="703"/>
      <c r="L651" s="238"/>
    </row>
    <row r="652">
      <c r="A652" s="703"/>
      <c r="L652" s="238"/>
    </row>
    <row r="653">
      <c r="A653" s="703"/>
      <c r="L653" s="238"/>
    </row>
    <row r="654">
      <c r="A654" s="703"/>
      <c r="L654" s="238"/>
    </row>
    <row r="655">
      <c r="A655" s="703"/>
      <c r="L655" s="238"/>
    </row>
    <row r="656">
      <c r="A656" s="703"/>
      <c r="L656" s="238"/>
    </row>
    <row r="657">
      <c r="A657" s="703"/>
      <c r="L657" s="238"/>
    </row>
    <row r="658">
      <c r="A658" s="703"/>
      <c r="L658" s="238"/>
    </row>
    <row r="659">
      <c r="A659" s="703"/>
      <c r="L659" s="238"/>
    </row>
    <row r="660">
      <c r="A660" s="703"/>
      <c r="L660" s="238"/>
    </row>
    <row r="661">
      <c r="A661" s="703"/>
      <c r="L661" s="238"/>
    </row>
    <row r="662">
      <c r="A662" s="703"/>
      <c r="L662" s="238"/>
    </row>
    <row r="663">
      <c r="A663" s="703"/>
      <c r="L663" s="238"/>
    </row>
    <row r="664">
      <c r="A664" s="703"/>
      <c r="L664" s="238"/>
    </row>
    <row r="665">
      <c r="A665" s="703"/>
      <c r="L665" s="238"/>
    </row>
    <row r="666">
      <c r="A666" s="703"/>
      <c r="L666" s="238"/>
    </row>
    <row r="667">
      <c r="A667" s="703"/>
      <c r="L667" s="238"/>
    </row>
    <row r="668">
      <c r="A668" s="703"/>
      <c r="L668" s="238"/>
    </row>
    <row r="669">
      <c r="A669" s="703"/>
      <c r="L669" s="238"/>
    </row>
    <row r="670">
      <c r="A670" s="703"/>
      <c r="L670" s="238"/>
    </row>
    <row r="671">
      <c r="A671" s="703"/>
      <c r="L671" s="238"/>
    </row>
    <row r="672">
      <c r="A672" s="703"/>
      <c r="L672" s="238"/>
    </row>
    <row r="673">
      <c r="A673" s="703"/>
      <c r="L673" s="238"/>
    </row>
    <row r="674">
      <c r="A674" s="703"/>
      <c r="L674" s="238"/>
    </row>
    <row r="675">
      <c r="A675" s="703"/>
      <c r="L675" s="238"/>
    </row>
    <row r="676">
      <c r="A676" s="703"/>
      <c r="L676" s="238"/>
    </row>
    <row r="677">
      <c r="A677" s="703"/>
      <c r="L677" s="238"/>
    </row>
    <row r="678">
      <c r="A678" s="703"/>
      <c r="L678" s="238"/>
    </row>
    <row r="679">
      <c r="A679" s="703"/>
      <c r="L679" s="238"/>
    </row>
    <row r="680">
      <c r="A680" s="703"/>
      <c r="L680" s="238"/>
    </row>
    <row r="681">
      <c r="A681" s="703"/>
      <c r="L681" s="238"/>
    </row>
    <row r="682">
      <c r="A682" s="703"/>
      <c r="L682" s="238"/>
    </row>
    <row r="683">
      <c r="A683" s="703"/>
      <c r="L683" s="238"/>
    </row>
    <row r="684">
      <c r="A684" s="703"/>
      <c r="L684" s="238"/>
    </row>
    <row r="685">
      <c r="A685" s="703"/>
      <c r="L685" s="238"/>
    </row>
    <row r="686">
      <c r="A686" s="703"/>
      <c r="L686" s="238"/>
    </row>
    <row r="687">
      <c r="A687" s="703"/>
      <c r="L687" s="238"/>
    </row>
    <row r="688">
      <c r="A688" s="703"/>
      <c r="L688" s="238"/>
    </row>
    <row r="689">
      <c r="A689" s="703"/>
      <c r="L689" s="238"/>
    </row>
    <row r="690">
      <c r="A690" s="703"/>
      <c r="L690" s="238"/>
    </row>
    <row r="691">
      <c r="A691" s="703"/>
      <c r="L691" s="238"/>
    </row>
    <row r="692">
      <c r="A692" s="703"/>
      <c r="L692" s="238"/>
    </row>
    <row r="693">
      <c r="A693" s="703"/>
      <c r="L693" s="238"/>
    </row>
    <row r="694">
      <c r="A694" s="703"/>
      <c r="L694" s="238"/>
    </row>
    <row r="695">
      <c r="A695" s="703"/>
      <c r="L695" s="238"/>
    </row>
    <row r="696">
      <c r="A696" s="703"/>
      <c r="L696" s="238"/>
    </row>
    <row r="697">
      <c r="A697" s="703"/>
      <c r="L697" s="238"/>
    </row>
    <row r="698">
      <c r="A698" s="703"/>
      <c r="L698" s="238"/>
    </row>
    <row r="699">
      <c r="A699" s="703"/>
      <c r="L699" s="238"/>
    </row>
    <row r="700">
      <c r="A700" s="703"/>
      <c r="L700" s="238"/>
    </row>
    <row r="701">
      <c r="A701" s="703"/>
      <c r="L701" s="238"/>
    </row>
    <row r="702">
      <c r="A702" s="703"/>
      <c r="L702" s="238"/>
    </row>
    <row r="703">
      <c r="A703" s="703"/>
      <c r="L703" s="238"/>
    </row>
    <row r="704">
      <c r="A704" s="703"/>
      <c r="L704" s="238"/>
    </row>
    <row r="705">
      <c r="A705" s="703"/>
      <c r="L705" s="238"/>
    </row>
    <row r="706">
      <c r="A706" s="703"/>
      <c r="L706" s="238"/>
    </row>
    <row r="707">
      <c r="A707" s="703"/>
      <c r="L707" s="238"/>
    </row>
    <row r="708">
      <c r="A708" s="703"/>
      <c r="L708" s="238"/>
    </row>
    <row r="709">
      <c r="A709" s="703"/>
      <c r="L709" s="238"/>
    </row>
    <row r="710">
      <c r="A710" s="703"/>
      <c r="L710" s="238"/>
    </row>
    <row r="711">
      <c r="A711" s="703"/>
      <c r="L711" s="238"/>
    </row>
    <row r="712">
      <c r="A712" s="703"/>
      <c r="L712" s="238"/>
    </row>
    <row r="713">
      <c r="A713" s="703"/>
      <c r="L713" s="238"/>
    </row>
    <row r="714">
      <c r="A714" s="703"/>
      <c r="L714" s="238"/>
    </row>
    <row r="715">
      <c r="A715" s="703"/>
      <c r="L715" s="238"/>
    </row>
    <row r="716">
      <c r="A716" s="703"/>
      <c r="L716" s="238"/>
    </row>
    <row r="717">
      <c r="A717" s="703"/>
      <c r="L717" s="238"/>
    </row>
    <row r="718">
      <c r="A718" s="703"/>
      <c r="L718" s="238"/>
    </row>
    <row r="719">
      <c r="A719" s="703"/>
      <c r="L719" s="238"/>
    </row>
    <row r="720">
      <c r="A720" s="703"/>
      <c r="L720" s="238"/>
    </row>
    <row r="721">
      <c r="A721" s="703"/>
      <c r="L721" s="238"/>
    </row>
    <row r="722">
      <c r="A722" s="703"/>
      <c r="L722" s="238"/>
    </row>
    <row r="723">
      <c r="A723" s="703"/>
      <c r="L723" s="238"/>
    </row>
    <row r="724">
      <c r="A724" s="703"/>
      <c r="L724" s="238"/>
    </row>
    <row r="725">
      <c r="A725" s="703"/>
      <c r="L725" s="238"/>
    </row>
    <row r="726">
      <c r="A726" s="703"/>
      <c r="L726" s="238"/>
    </row>
    <row r="727">
      <c r="A727" s="703"/>
      <c r="L727" s="238"/>
    </row>
    <row r="728">
      <c r="A728" s="703"/>
      <c r="L728" s="238"/>
    </row>
    <row r="729">
      <c r="A729" s="703"/>
      <c r="L729" s="238"/>
    </row>
    <row r="730">
      <c r="A730" s="703"/>
      <c r="L730" s="238"/>
    </row>
    <row r="731">
      <c r="A731" s="703"/>
      <c r="L731" s="238"/>
    </row>
    <row r="732">
      <c r="A732" s="703"/>
      <c r="L732" s="238"/>
    </row>
    <row r="733">
      <c r="A733" s="703"/>
      <c r="L733" s="238"/>
    </row>
    <row r="734">
      <c r="A734" s="703"/>
      <c r="L734" s="238"/>
    </row>
    <row r="735">
      <c r="A735" s="703"/>
      <c r="L735" s="238"/>
    </row>
    <row r="736">
      <c r="A736" s="703"/>
      <c r="L736" s="238"/>
    </row>
    <row r="737">
      <c r="A737" s="703"/>
      <c r="L737" s="238"/>
    </row>
    <row r="738">
      <c r="A738" s="703"/>
      <c r="L738" s="238"/>
    </row>
    <row r="739">
      <c r="A739" s="703"/>
      <c r="L739" s="238"/>
    </row>
    <row r="740">
      <c r="A740" s="703"/>
      <c r="L740" s="238"/>
    </row>
    <row r="741">
      <c r="A741" s="703"/>
      <c r="L741" s="238"/>
    </row>
    <row r="742">
      <c r="A742" s="703"/>
      <c r="L742" s="238"/>
    </row>
    <row r="743">
      <c r="A743" s="703"/>
      <c r="L743" s="238"/>
    </row>
    <row r="744">
      <c r="A744" s="703"/>
      <c r="L744" s="238"/>
    </row>
    <row r="745">
      <c r="A745" s="703"/>
      <c r="L745" s="238"/>
    </row>
    <row r="746">
      <c r="A746" s="703"/>
      <c r="L746" s="238"/>
    </row>
    <row r="747">
      <c r="A747" s="703"/>
      <c r="L747" s="238"/>
    </row>
    <row r="748">
      <c r="A748" s="703"/>
      <c r="L748" s="238"/>
    </row>
    <row r="749">
      <c r="A749" s="703"/>
      <c r="L749" s="238"/>
    </row>
    <row r="750">
      <c r="A750" s="703"/>
      <c r="L750" s="238"/>
    </row>
    <row r="751">
      <c r="A751" s="703"/>
      <c r="L751" s="238"/>
    </row>
    <row r="752">
      <c r="A752" s="703"/>
      <c r="L752" s="238"/>
    </row>
    <row r="753">
      <c r="A753" s="703"/>
      <c r="L753" s="238"/>
    </row>
    <row r="754">
      <c r="A754" s="703"/>
      <c r="L754" s="238"/>
    </row>
    <row r="755">
      <c r="A755" s="703"/>
      <c r="L755" s="238"/>
    </row>
    <row r="756">
      <c r="A756" s="703"/>
      <c r="L756" s="238"/>
    </row>
    <row r="757">
      <c r="A757" s="703"/>
      <c r="L757" s="238"/>
    </row>
    <row r="758">
      <c r="A758" s="703"/>
      <c r="L758" s="238"/>
    </row>
    <row r="759">
      <c r="A759" s="703"/>
      <c r="L759" s="238"/>
    </row>
    <row r="760">
      <c r="A760" s="703"/>
      <c r="L760" s="238"/>
    </row>
    <row r="761">
      <c r="A761" s="703"/>
      <c r="L761" s="238"/>
    </row>
    <row r="762">
      <c r="A762" s="703"/>
      <c r="L762" s="238"/>
    </row>
    <row r="763">
      <c r="A763" s="703"/>
      <c r="L763" s="238"/>
    </row>
    <row r="764">
      <c r="A764" s="703"/>
      <c r="L764" s="238"/>
    </row>
    <row r="765">
      <c r="A765" s="703"/>
      <c r="L765" s="238"/>
    </row>
    <row r="766">
      <c r="A766" s="703"/>
      <c r="L766" s="238"/>
    </row>
    <row r="767">
      <c r="A767" s="703"/>
      <c r="L767" s="238"/>
    </row>
    <row r="768">
      <c r="A768" s="703"/>
      <c r="L768" s="238"/>
    </row>
    <row r="769">
      <c r="A769" s="703"/>
      <c r="L769" s="238"/>
    </row>
    <row r="770">
      <c r="A770" s="703"/>
      <c r="L770" s="238"/>
    </row>
    <row r="771">
      <c r="A771" s="703"/>
      <c r="L771" s="238"/>
    </row>
    <row r="772">
      <c r="A772" s="703"/>
      <c r="L772" s="238"/>
    </row>
    <row r="773">
      <c r="A773" s="703"/>
      <c r="L773" s="238"/>
    </row>
    <row r="774">
      <c r="A774" s="703"/>
      <c r="L774" s="238"/>
    </row>
    <row r="775">
      <c r="A775" s="703"/>
      <c r="L775" s="238"/>
    </row>
    <row r="776">
      <c r="A776" s="703"/>
      <c r="L776" s="238"/>
    </row>
    <row r="777">
      <c r="A777" s="703"/>
      <c r="L777" s="238"/>
    </row>
    <row r="778">
      <c r="A778" s="703"/>
      <c r="L778" s="238"/>
    </row>
    <row r="779">
      <c r="A779" s="703"/>
      <c r="L779" s="238"/>
    </row>
    <row r="780">
      <c r="A780" s="703"/>
      <c r="L780" s="238"/>
    </row>
    <row r="781">
      <c r="A781" s="703"/>
      <c r="L781" s="238"/>
    </row>
    <row r="782">
      <c r="A782" s="703"/>
      <c r="L782" s="238"/>
    </row>
    <row r="783">
      <c r="A783" s="703"/>
      <c r="L783" s="238"/>
    </row>
    <row r="784">
      <c r="A784" s="703"/>
      <c r="L784" s="238"/>
    </row>
    <row r="785">
      <c r="A785" s="703"/>
      <c r="L785" s="238"/>
    </row>
    <row r="786">
      <c r="A786" s="703"/>
      <c r="L786" s="238"/>
    </row>
    <row r="787">
      <c r="A787" s="703"/>
      <c r="L787" s="238"/>
    </row>
    <row r="788">
      <c r="A788" s="703"/>
      <c r="L788" s="238"/>
    </row>
    <row r="789">
      <c r="A789" s="703"/>
      <c r="L789" s="238"/>
    </row>
    <row r="790">
      <c r="A790" s="703"/>
      <c r="L790" s="238"/>
    </row>
    <row r="791">
      <c r="A791" s="703"/>
      <c r="L791" s="238"/>
    </row>
    <row r="792">
      <c r="A792" s="703"/>
      <c r="L792" s="238"/>
    </row>
    <row r="793">
      <c r="A793" s="703"/>
      <c r="L793" s="238"/>
    </row>
    <row r="794">
      <c r="A794" s="703"/>
      <c r="L794" s="238"/>
    </row>
    <row r="795">
      <c r="A795" s="703"/>
      <c r="L795" s="238"/>
    </row>
    <row r="796">
      <c r="A796" s="703"/>
      <c r="L796" s="238"/>
    </row>
    <row r="797">
      <c r="A797" s="703"/>
      <c r="L797" s="238"/>
    </row>
    <row r="798">
      <c r="A798" s="703"/>
      <c r="L798" s="238"/>
    </row>
    <row r="799">
      <c r="A799" s="703"/>
      <c r="L799" s="238"/>
    </row>
    <row r="800">
      <c r="A800" s="703"/>
      <c r="L800" s="238"/>
    </row>
    <row r="801">
      <c r="A801" s="703"/>
      <c r="L801" s="238"/>
    </row>
    <row r="802">
      <c r="A802" s="703"/>
      <c r="L802" s="238"/>
    </row>
    <row r="803">
      <c r="A803" s="703"/>
      <c r="L803" s="238"/>
    </row>
    <row r="804">
      <c r="A804" s="703"/>
      <c r="L804" s="238"/>
    </row>
    <row r="805">
      <c r="A805" s="703"/>
      <c r="L805" s="238"/>
    </row>
    <row r="806">
      <c r="A806" s="703"/>
      <c r="L806" s="238"/>
    </row>
    <row r="807">
      <c r="A807" s="703"/>
      <c r="L807" s="238"/>
    </row>
    <row r="808">
      <c r="A808" s="703"/>
      <c r="L808" s="238"/>
    </row>
    <row r="809">
      <c r="A809" s="703"/>
      <c r="L809" s="238"/>
    </row>
    <row r="810">
      <c r="A810" s="703"/>
      <c r="L810" s="238"/>
    </row>
    <row r="811">
      <c r="A811" s="703"/>
      <c r="L811" s="238"/>
    </row>
    <row r="812">
      <c r="A812" s="703"/>
      <c r="L812" s="238"/>
    </row>
    <row r="813">
      <c r="A813" s="703"/>
      <c r="L813" s="238"/>
    </row>
    <row r="814">
      <c r="A814" s="703"/>
      <c r="L814" s="238"/>
    </row>
    <row r="815">
      <c r="A815" s="703"/>
      <c r="L815" s="238"/>
    </row>
    <row r="816">
      <c r="A816" s="703"/>
      <c r="L816" s="238"/>
    </row>
    <row r="817">
      <c r="A817" s="703"/>
      <c r="L817" s="238"/>
    </row>
    <row r="818">
      <c r="A818" s="703"/>
      <c r="L818" s="238"/>
    </row>
    <row r="819">
      <c r="A819" s="703"/>
      <c r="L819" s="238"/>
    </row>
    <row r="820">
      <c r="A820" s="703"/>
      <c r="L820" s="238"/>
    </row>
    <row r="821">
      <c r="A821" s="703"/>
      <c r="L821" s="238"/>
    </row>
    <row r="822">
      <c r="A822" s="703"/>
      <c r="L822" s="238"/>
    </row>
    <row r="823">
      <c r="A823" s="703"/>
      <c r="L823" s="238"/>
    </row>
    <row r="824">
      <c r="A824" s="703"/>
      <c r="L824" s="238"/>
    </row>
    <row r="825">
      <c r="A825" s="703"/>
      <c r="L825" s="238"/>
    </row>
    <row r="826">
      <c r="A826" s="703"/>
      <c r="L826" s="238"/>
    </row>
    <row r="827">
      <c r="A827" s="703"/>
      <c r="L827" s="238"/>
    </row>
    <row r="828">
      <c r="A828" s="703"/>
      <c r="L828" s="238"/>
    </row>
    <row r="829">
      <c r="A829" s="703"/>
      <c r="L829" s="238"/>
    </row>
    <row r="830">
      <c r="A830" s="703"/>
      <c r="L830" s="238"/>
    </row>
    <row r="831">
      <c r="A831" s="703"/>
      <c r="L831" s="238"/>
    </row>
    <row r="832">
      <c r="A832" s="703"/>
      <c r="L832" s="238"/>
    </row>
    <row r="833">
      <c r="A833" s="703"/>
      <c r="L833" s="238"/>
    </row>
    <row r="834">
      <c r="A834" s="703"/>
      <c r="L834" s="238"/>
    </row>
    <row r="835">
      <c r="A835" s="703"/>
      <c r="L835" s="238"/>
    </row>
    <row r="836">
      <c r="A836" s="703"/>
      <c r="L836" s="238"/>
    </row>
    <row r="837">
      <c r="A837" s="703"/>
      <c r="L837" s="238"/>
    </row>
    <row r="838">
      <c r="A838" s="703"/>
      <c r="L838" s="238"/>
    </row>
    <row r="839">
      <c r="A839" s="703"/>
      <c r="L839" s="238"/>
    </row>
    <row r="840">
      <c r="A840" s="703"/>
      <c r="L840" s="238"/>
    </row>
    <row r="841">
      <c r="A841" s="703"/>
      <c r="L841" s="238"/>
    </row>
    <row r="842">
      <c r="A842" s="703"/>
      <c r="L842" s="238"/>
    </row>
    <row r="843">
      <c r="A843" s="703"/>
      <c r="L843" s="238"/>
    </row>
    <row r="844">
      <c r="A844" s="703"/>
      <c r="L844" s="238"/>
    </row>
    <row r="845">
      <c r="A845" s="703"/>
      <c r="L845" s="238"/>
    </row>
    <row r="846">
      <c r="A846" s="703"/>
      <c r="L846" s="238"/>
    </row>
    <row r="847">
      <c r="A847" s="703"/>
      <c r="L847" s="238"/>
    </row>
    <row r="848">
      <c r="A848" s="703"/>
      <c r="L848" s="238"/>
    </row>
    <row r="849">
      <c r="A849" s="703"/>
      <c r="L849" s="238"/>
    </row>
    <row r="850">
      <c r="A850" s="703"/>
      <c r="L850" s="238"/>
    </row>
    <row r="851">
      <c r="A851" s="703"/>
      <c r="L851" s="238"/>
    </row>
    <row r="852">
      <c r="A852" s="703"/>
      <c r="L852" s="238"/>
    </row>
    <row r="853">
      <c r="A853" s="703"/>
      <c r="L853" s="238"/>
    </row>
    <row r="854">
      <c r="A854" s="703"/>
      <c r="L854" s="238"/>
    </row>
    <row r="855">
      <c r="A855" s="703"/>
      <c r="L855" s="238"/>
    </row>
    <row r="856">
      <c r="A856" s="703"/>
      <c r="L856" s="238"/>
    </row>
    <row r="857">
      <c r="A857" s="703"/>
      <c r="L857" s="238"/>
    </row>
    <row r="858">
      <c r="A858" s="703"/>
      <c r="L858" s="238"/>
    </row>
    <row r="859">
      <c r="A859" s="703"/>
      <c r="L859" s="238"/>
    </row>
    <row r="860">
      <c r="A860" s="703"/>
      <c r="L860" s="238"/>
    </row>
    <row r="861">
      <c r="A861" s="703"/>
      <c r="L861" s="238"/>
    </row>
    <row r="862">
      <c r="A862" s="703"/>
      <c r="L862" s="238"/>
    </row>
    <row r="863">
      <c r="A863" s="703"/>
      <c r="L863" s="238"/>
    </row>
    <row r="864">
      <c r="A864" s="703"/>
      <c r="L864" s="238"/>
    </row>
    <row r="865">
      <c r="A865" s="703"/>
      <c r="L865" s="238"/>
    </row>
    <row r="866">
      <c r="A866" s="703"/>
      <c r="L866" s="238"/>
    </row>
    <row r="867">
      <c r="A867" s="703"/>
      <c r="L867" s="238"/>
    </row>
    <row r="868">
      <c r="A868" s="703"/>
      <c r="L868" s="238"/>
    </row>
    <row r="869">
      <c r="A869" s="703"/>
      <c r="L869" s="238"/>
    </row>
    <row r="870">
      <c r="A870" s="703"/>
      <c r="L870" s="238"/>
    </row>
    <row r="871">
      <c r="A871" s="703"/>
      <c r="L871" s="238"/>
    </row>
    <row r="872">
      <c r="A872" s="703"/>
      <c r="L872" s="238"/>
    </row>
    <row r="873">
      <c r="A873" s="703"/>
      <c r="L873" s="238"/>
    </row>
    <row r="874">
      <c r="A874" s="703"/>
      <c r="L874" s="238"/>
    </row>
    <row r="875">
      <c r="A875" s="703"/>
      <c r="L875" s="238"/>
    </row>
    <row r="876">
      <c r="A876" s="703"/>
      <c r="L876" s="238"/>
    </row>
    <row r="877">
      <c r="A877" s="703"/>
      <c r="L877" s="238"/>
    </row>
    <row r="878">
      <c r="A878" s="703"/>
      <c r="L878" s="238"/>
    </row>
    <row r="879">
      <c r="A879" s="703"/>
      <c r="L879" s="238"/>
    </row>
    <row r="880">
      <c r="A880" s="703"/>
      <c r="L880" s="238"/>
    </row>
    <row r="881">
      <c r="A881" s="703"/>
      <c r="L881" s="238"/>
    </row>
    <row r="882">
      <c r="A882" s="703"/>
      <c r="L882" s="238"/>
    </row>
    <row r="883">
      <c r="A883" s="703"/>
      <c r="L883" s="238"/>
    </row>
    <row r="884">
      <c r="A884" s="703"/>
      <c r="L884" s="238"/>
    </row>
    <row r="885">
      <c r="A885" s="703"/>
      <c r="L885" s="238"/>
    </row>
    <row r="886">
      <c r="A886" s="703"/>
      <c r="L886" s="238"/>
    </row>
    <row r="887">
      <c r="A887" s="703"/>
      <c r="L887" s="238"/>
    </row>
    <row r="888">
      <c r="A888" s="703"/>
      <c r="L888" s="238"/>
    </row>
    <row r="889">
      <c r="A889" s="703"/>
      <c r="L889" s="238"/>
    </row>
    <row r="890">
      <c r="A890" s="703"/>
      <c r="L890" s="238"/>
    </row>
    <row r="891">
      <c r="A891" s="703"/>
      <c r="L891" s="238"/>
    </row>
    <row r="892">
      <c r="A892" s="703"/>
      <c r="L892" s="238"/>
    </row>
    <row r="893">
      <c r="A893" s="703"/>
      <c r="L893" s="238"/>
    </row>
    <row r="894">
      <c r="A894" s="703"/>
      <c r="L894" s="238"/>
    </row>
    <row r="895">
      <c r="A895" s="703"/>
      <c r="L895" s="238"/>
    </row>
    <row r="896">
      <c r="A896" s="703"/>
      <c r="L896" s="238"/>
    </row>
    <row r="897">
      <c r="A897" s="703"/>
      <c r="L897" s="238"/>
    </row>
    <row r="898">
      <c r="A898" s="703"/>
      <c r="L898" s="238"/>
    </row>
    <row r="899">
      <c r="A899" s="703"/>
      <c r="L899" s="238"/>
    </row>
    <row r="900">
      <c r="A900" s="703"/>
      <c r="L900" s="238"/>
    </row>
    <row r="901">
      <c r="A901" s="703"/>
      <c r="L901" s="238"/>
    </row>
    <row r="902">
      <c r="A902" s="703"/>
      <c r="L902" s="238"/>
    </row>
    <row r="903">
      <c r="A903" s="703"/>
      <c r="L903" s="238"/>
    </row>
    <row r="904">
      <c r="A904" s="703"/>
      <c r="L904" s="238"/>
    </row>
    <row r="905">
      <c r="A905" s="703"/>
      <c r="L905" s="238"/>
    </row>
    <row r="906">
      <c r="A906" s="703"/>
      <c r="L906" s="238"/>
    </row>
    <row r="907">
      <c r="A907" s="703"/>
      <c r="L907" s="238"/>
    </row>
    <row r="908">
      <c r="A908" s="703"/>
      <c r="L908" s="238"/>
    </row>
    <row r="909">
      <c r="A909" s="703"/>
      <c r="L909" s="238"/>
    </row>
    <row r="910">
      <c r="A910" s="703"/>
      <c r="L910" s="238"/>
    </row>
    <row r="911">
      <c r="A911" s="703"/>
      <c r="L911" s="238"/>
    </row>
    <row r="912">
      <c r="A912" s="703"/>
      <c r="L912" s="238"/>
    </row>
    <row r="913">
      <c r="A913" s="703"/>
      <c r="L913" s="238"/>
    </row>
    <row r="914">
      <c r="A914" s="703"/>
      <c r="L914" s="238"/>
    </row>
    <row r="915">
      <c r="A915" s="703"/>
      <c r="L915" s="238"/>
    </row>
    <row r="916">
      <c r="A916" s="703"/>
      <c r="L916" s="238"/>
    </row>
    <row r="917">
      <c r="A917" s="703"/>
      <c r="L917" s="238"/>
    </row>
    <row r="918">
      <c r="A918" s="703"/>
      <c r="L918" s="238"/>
    </row>
    <row r="919">
      <c r="A919" s="703"/>
      <c r="L919" s="238"/>
    </row>
    <row r="920">
      <c r="A920" s="703"/>
      <c r="L920" s="238"/>
    </row>
    <row r="921">
      <c r="A921" s="703"/>
      <c r="L921" s="238"/>
    </row>
    <row r="922">
      <c r="A922" s="703"/>
      <c r="L922" s="238"/>
    </row>
    <row r="923">
      <c r="A923" s="703"/>
      <c r="L923" s="238"/>
    </row>
    <row r="924">
      <c r="A924" s="703"/>
      <c r="L924" s="238"/>
    </row>
    <row r="925">
      <c r="A925" s="703"/>
      <c r="L925" s="238"/>
    </row>
    <row r="926">
      <c r="A926" s="703"/>
      <c r="L926" s="238"/>
    </row>
    <row r="927">
      <c r="A927" s="703"/>
      <c r="L927" s="238"/>
    </row>
    <row r="928">
      <c r="A928" s="703"/>
      <c r="L928" s="238"/>
    </row>
    <row r="929">
      <c r="A929" s="703"/>
      <c r="L929" s="238"/>
    </row>
    <row r="930">
      <c r="A930" s="703"/>
      <c r="L930" s="238"/>
    </row>
    <row r="931">
      <c r="A931" s="703"/>
      <c r="L931" s="238"/>
    </row>
    <row r="932">
      <c r="A932" s="703"/>
      <c r="L932" s="238"/>
    </row>
    <row r="933">
      <c r="A933" s="703"/>
      <c r="L933" s="238"/>
    </row>
    <row r="934">
      <c r="A934" s="703"/>
      <c r="L934" s="238"/>
    </row>
    <row r="935">
      <c r="A935" s="703"/>
      <c r="L935" s="238"/>
    </row>
    <row r="936">
      <c r="A936" s="703"/>
      <c r="L936" s="238"/>
    </row>
    <row r="937">
      <c r="A937" s="703"/>
      <c r="L937" s="238"/>
    </row>
    <row r="938">
      <c r="A938" s="703"/>
      <c r="L938" s="238"/>
    </row>
    <row r="939">
      <c r="A939" s="703"/>
      <c r="L939" s="238"/>
    </row>
    <row r="940">
      <c r="A940" s="703"/>
      <c r="L940" s="238"/>
    </row>
    <row r="941">
      <c r="A941" s="703"/>
      <c r="L941" s="238"/>
    </row>
    <row r="942">
      <c r="A942" s="703"/>
      <c r="L942" s="238"/>
    </row>
    <row r="943">
      <c r="A943" s="703"/>
      <c r="L943" s="238"/>
    </row>
    <row r="944">
      <c r="A944" s="703"/>
      <c r="L944" s="238"/>
    </row>
    <row r="945">
      <c r="A945" s="703"/>
      <c r="L945" s="238"/>
    </row>
    <row r="946">
      <c r="A946" s="703"/>
      <c r="L946" s="238"/>
    </row>
    <row r="947">
      <c r="A947" s="703"/>
      <c r="L947" s="238"/>
    </row>
    <row r="948">
      <c r="A948" s="703"/>
      <c r="L948" s="238"/>
    </row>
    <row r="949">
      <c r="A949" s="703"/>
      <c r="L949" s="238"/>
    </row>
    <row r="950">
      <c r="A950" s="703"/>
      <c r="L950" s="238"/>
    </row>
    <row r="951">
      <c r="A951" s="703"/>
      <c r="L951" s="238"/>
    </row>
    <row r="952">
      <c r="A952" s="703"/>
      <c r="L952" s="238"/>
    </row>
    <row r="953">
      <c r="A953" s="703"/>
      <c r="L953" s="238"/>
    </row>
    <row r="954">
      <c r="A954" s="703"/>
      <c r="L954" s="238"/>
    </row>
    <row r="955">
      <c r="A955" s="703"/>
      <c r="L955" s="238"/>
    </row>
    <row r="956">
      <c r="A956" s="703"/>
      <c r="L956" s="238"/>
    </row>
    <row r="957">
      <c r="A957" s="703"/>
      <c r="L957" s="238"/>
    </row>
    <row r="958">
      <c r="A958" s="703"/>
      <c r="L958" s="238"/>
    </row>
    <row r="959">
      <c r="A959" s="703"/>
      <c r="L959" s="238"/>
    </row>
    <row r="960">
      <c r="A960" s="703"/>
      <c r="L960" s="238"/>
    </row>
    <row r="961">
      <c r="A961" s="703"/>
      <c r="L961" s="238"/>
    </row>
    <row r="962">
      <c r="A962" s="703"/>
      <c r="L962" s="238"/>
    </row>
    <row r="963">
      <c r="A963" s="703"/>
      <c r="L963" s="238"/>
    </row>
    <row r="964">
      <c r="A964" s="703"/>
      <c r="L964" s="238"/>
    </row>
    <row r="965">
      <c r="A965" s="703"/>
      <c r="L965" s="238"/>
    </row>
    <row r="966">
      <c r="A966" s="703"/>
      <c r="L966" s="238"/>
    </row>
    <row r="967">
      <c r="A967" s="703"/>
      <c r="L967" s="238"/>
    </row>
    <row r="968">
      <c r="A968" s="703"/>
      <c r="L968" s="238"/>
    </row>
    <row r="969">
      <c r="A969" s="703"/>
      <c r="L969" s="238"/>
    </row>
    <row r="970">
      <c r="A970" s="703"/>
      <c r="L970" s="238"/>
    </row>
    <row r="971">
      <c r="A971" s="703"/>
      <c r="L971" s="238"/>
    </row>
    <row r="972">
      <c r="A972" s="703"/>
      <c r="L972" s="238"/>
    </row>
    <row r="973">
      <c r="A973" s="703"/>
      <c r="L973" s="238"/>
    </row>
    <row r="974">
      <c r="A974" s="703"/>
      <c r="L974" s="238"/>
    </row>
    <row r="975">
      <c r="A975" s="703"/>
      <c r="L975" s="238"/>
    </row>
    <row r="976">
      <c r="A976" s="703"/>
      <c r="L976" s="238"/>
    </row>
    <row r="977">
      <c r="A977" s="703"/>
      <c r="L977" s="238"/>
    </row>
    <row r="978">
      <c r="A978" s="703"/>
      <c r="L978" s="238"/>
    </row>
    <row r="979">
      <c r="A979" s="703"/>
      <c r="L979" s="238"/>
    </row>
    <row r="980">
      <c r="A980" s="703"/>
      <c r="L980" s="238"/>
    </row>
    <row r="981">
      <c r="A981" s="703"/>
      <c r="L981" s="238"/>
    </row>
    <row r="982">
      <c r="A982" s="703"/>
      <c r="L982" s="238"/>
    </row>
    <row r="983">
      <c r="A983" s="703"/>
      <c r="L983" s="238"/>
    </row>
    <row r="984">
      <c r="A984" s="703"/>
      <c r="L984" s="238"/>
    </row>
    <row r="985">
      <c r="A985" s="703"/>
      <c r="L985" s="238"/>
    </row>
    <row r="986">
      <c r="A986" s="703"/>
      <c r="L986" s="238"/>
    </row>
    <row r="987">
      <c r="A987" s="703"/>
      <c r="L987" s="238"/>
    </row>
    <row r="988">
      <c r="A988" s="703"/>
      <c r="L988" s="238"/>
    </row>
    <row r="989">
      <c r="A989" s="703"/>
      <c r="L989" s="238"/>
    </row>
    <row r="990">
      <c r="A990" s="703"/>
      <c r="L990" s="238"/>
    </row>
    <row r="991">
      <c r="A991" s="703"/>
      <c r="L991" s="238"/>
    </row>
    <row r="992">
      <c r="A992" s="703"/>
      <c r="L992" s="238"/>
    </row>
    <row r="993">
      <c r="A993" s="703"/>
      <c r="L993" s="238"/>
    </row>
    <row r="994">
      <c r="A994" s="703"/>
      <c r="L994" s="238"/>
    </row>
    <row r="995">
      <c r="A995" s="703"/>
      <c r="L995" s="238"/>
    </row>
    <row r="996">
      <c r="A996" s="703"/>
      <c r="L996" s="238"/>
    </row>
    <row r="997">
      <c r="A997" s="703"/>
      <c r="L997" s="238"/>
    </row>
    <row r="998">
      <c r="A998" s="703"/>
      <c r="L998" s="238"/>
    </row>
  </sheetData>
  <mergeCells count="1">
    <mergeCell ref="G1:G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13"/>
    <col customWidth="1" min="2" max="2" width="31.38"/>
    <col customWidth="1" min="3" max="3" width="6.5"/>
    <col customWidth="1" min="4" max="4" width="8.75"/>
    <col customWidth="1" min="5" max="5" width="11.25"/>
    <col customWidth="1" min="7" max="7" width="8.88"/>
    <col customWidth="1" min="8" max="8" width="7.5"/>
    <col customWidth="1" min="9" max="9" width="9.5"/>
    <col customWidth="1" min="10" max="10" width="16.0"/>
    <col customWidth="1" min="11" max="11" width="30.25"/>
    <col customWidth="1" min="12" max="12" width="7.13"/>
    <col customWidth="1" min="13" max="13" width="11.38"/>
    <col customWidth="1" min="15" max="15" width="10.13"/>
    <col customWidth="1" min="16" max="16" width="8.88"/>
  </cols>
  <sheetData>
    <row r="1">
      <c r="A1" s="704" t="s">
        <v>10</v>
      </c>
      <c r="B1" s="705" t="s">
        <v>723</v>
      </c>
      <c r="D1" s="706"/>
      <c r="J1" s="707" t="s">
        <v>95</v>
      </c>
      <c r="K1" s="708" t="s">
        <v>723</v>
      </c>
    </row>
    <row r="2">
      <c r="A2" s="516"/>
      <c r="B2" s="709" t="s">
        <v>724</v>
      </c>
      <c r="C2" s="710" t="s">
        <v>725</v>
      </c>
      <c r="D2" s="711"/>
      <c r="F2" s="599"/>
      <c r="J2" s="516"/>
      <c r="K2" s="712" t="s">
        <v>724</v>
      </c>
      <c r="L2" s="713" t="s">
        <v>725</v>
      </c>
      <c r="N2" s="714"/>
    </row>
    <row r="3">
      <c r="A3" s="715" t="s">
        <v>489</v>
      </c>
      <c r="B3" s="716" t="s">
        <v>726</v>
      </c>
      <c r="C3" s="717">
        <v>1.0</v>
      </c>
      <c r="D3" s="718"/>
      <c r="J3" s="719" t="s">
        <v>489</v>
      </c>
      <c r="K3" s="716" t="s">
        <v>727</v>
      </c>
      <c r="L3" s="720">
        <v>0.0</v>
      </c>
    </row>
    <row r="4">
      <c r="A4" s="637"/>
      <c r="B4" s="721" t="s">
        <v>728</v>
      </c>
      <c r="C4" s="722">
        <v>1.0</v>
      </c>
      <c r="D4" s="718"/>
      <c r="J4" s="637"/>
      <c r="K4" s="721" t="s">
        <v>729</v>
      </c>
      <c r="L4" s="723">
        <v>0.0</v>
      </c>
    </row>
    <row r="5">
      <c r="A5" s="637"/>
      <c r="B5" s="724" t="s">
        <v>730</v>
      </c>
      <c r="C5" s="717">
        <v>0.0</v>
      </c>
      <c r="D5" s="725"/>
      <c r="J5" s="637"/>
      <c r="K5" s="724" t="s">
        <v>730</v>
      </c>
      <c r="L5" s="720">
        <v>0.0</v>
      </c>
    </row>
    <row r="6">
      <c r="A6" s="637"/>
      <c r="B6" s="721" t="s">
        <v>731</v>
      </c>
      <c r="C6" s="722">
        <v>0.0</v>
      </c>
      <c r="D6" s="725"/>
      <c r="J6" s="637"/>
      <c r="K6" s="721"/>
      <c r="L6" s="723"/>
    </row>
    <row r="7">
      <c r="A7" s="637"/>
      <c r="B7" s="721" t="s">
        <v>732</v>
      </c>
      <c r="C7" s="722">
        <v>1.0</v>
      </c>
      <c r="D7" s="718"/>
      <c r="J7" s="637"/>
      <c r="K7" s="721" t="s">
        <v>733</v>
      </c>
      <c r="L7" s="723">
        <v>0.0</v>
      </c>
    </row>
    <row r="8">
      <c r="A8" s="637"/>
      <c r="B8" s="724" t="s">
        <v>734</v>
      </c>
      <c r="C8" s="717">
        <v>0.0</v>
      </c>
      <c r="D8" s="725"/>
      <c r="J8" s="637"/>
      <c r="K8" s="724" t="s">
        <v>735</v>
      </c>
      <c r="L8" s="720">
        <v>0.0</v>
      </c>
    </row>
    <row r="9">
      <c r="A9" s="637"/>
      <c r="B9" s="721" t="s">
        <v>736</v>
      </c>
      <c r="C9" s="722">
        <v>0.0</v>
      </c>
      <c r="D9" s="725"/>
      <c r="J9" s="637"/>
      <c r="K9" s="721" t="s">
        <v>528</v>
      </c>
      <c r="L9" s="723">
        <v>0.0</v>
      </c>
    </row>
    <row r="10">
      <c r="A10" s="637"/>
      <c r="B10" s="724" t="s">
        <v>737</v>
      </c>
      <c r="C10" s="717">
        <v>0.0</v>
      </c>
      <c r="D10" s="725"/>
      <c r="J10" s="637"/>
      <c r="K10" s="724" t="s">
        <v>738</v>
      </c>
      <c r="L10" s="720">
        <v>0.0</v>
      </c>
    </row>
    <row r="11">
      <c r="A11" s="637"/>
      <c r="B11" s="726" t="s">
        <v>739</v>
      </c>
      <c r="C11" s="727">
        <v>0.0</v>
      </c>
      <c r="D11" s="725"/>
      <c r="G11" s="728"/>
      <c r="J11" s="637"/>
      <c r="K11" s="726" t="s">
        <v>739</v>
      </c>
      <c r="L11" s="729">
        <v>0.0</v>
      </c>
    </row>
    <row r="12">
      <c r="A12" s="637"/>
      <c r="B12" s="730" t="s">
        <v>740</v>
      </c>
      <c r="C12" s="731">
        <v>0.0</v>
      </c>
      <c r="D12" s="725"/>
      <c r="G12" s="728"/>
      <c r="J12" s="637"/>
      <c r="K12" s="730" t="s">
        <v>741</v>
      </c>
      <c r="L12" s="732">
        <v>0.0</v>
      </c>
    </row>
    <row r="13">
      <c r="A13" s="637"/>
      <c r="B13" s="726" t="s">
        <v>742</v>
      </c>
      <c r="C13" s="727">
        <v>1.0</v>
      </c>
      <c r="D13" s="718"/>
      <c r="G13" s="728"/>
      <c r="J13" s="637"/>
      <c r="K13" s="726" t="s">
        <v>743</v>
      </c>
      <c r="L13" s="729">
        <v>0.0</v>
      </c>
    </row>
    <row r="14">
      <c r="A14" s="637"/>
      <c r="B14" s="730" t="s">
        <v>744</v>
      </c>
      <c r="C14" s="731">
        <v>0.0</v>
      </c>
      <c r="D14" s="725"/>
      <c r="J14" s="637"/>
      <c r="K14" s="730" t="s">
        <v>742</v>
      </c>
      <c r="L14" s="732">
        <v>0.0</v>
      </c>
    </row>
    <row r="15">
      <c r="A15" s="637"/>
      <c r="B15" s="726" t="s">
        <v>745</v>
      </c>
      <c r="C15" s="727">
        <v>0.0</v>
      </c>
      <c r="D15" s="725"/>
      <c r="J15" s="516"/>
      <c r="K15" s="726" t="s">
        <v>745</v>
      </c>
      <c r="L15" s="729">
        <v>0.0</v>
      </c>
    </row>
    <row r="16">
      <c r="A16" s="637"/>
      <c r="B16" s="726" t="s">
        <v>746</v>
      </c>
      <c r="C16" s="727">
        <v>1.0</v>
      </c>
      <c r="D16" s="718"/>
      <c r="J16" s="733"/>
      <c r="K16" s="726"/>
      <c r="L16" s="729"/>
    </row>
    <row r="17">
      <c r="A17" s="516"/>
      <c r="B17" s="726" t="s">
        <v>747</v>
      </c>
      <c r="C17" s="727">
        <v>1.0</v>
      </c>
      <c r="D17" s="718"/>
      <c r="J17" s="733"/>
      <c r="K17" s="726"/>
      <c r="L17" s="729"/>
    </row>
    <row r="18">
      <c r="A18" s="734" t="s">
        <v>748</v>
      </c>
      <c r="B18" s="735" t="s">
        <v>749</v>
      </c>
      <c r="C18" s="717">
        <v>3.0</v>
      </c>
      <c r="D18" s="725"/>
      <c r="J18" s="736" t="s">
        <v>748</v>
      </c>
      <c r="K18" s="735" t="s">
        <v>749</v>
      </c>
      <c r="L18" s="720">
        <v>0.0</v>
      </c>
    </row>
    <row r="19">
      <c r="A19" s="637"/>
      <c r="B19" s="737" t="s">
        <v>750</v>
      </c>
      <c r="C19" s="738">
        <v>2.0</v>
      </c>
      <c r="D19" s="725"/>
      <c r="J19" s="637"/>
      <c r="K19" s="737" t="s">
        <v>750</v>
      </c>
      <c r="L19" s="739">
        <v>0.0</v>
      </c>
    </row>
    <row r="20">
      <c r="A20" s="637"/>
      <c r="B20" s="735" t="s">
        <v>751</v>
      </c>
      <c r="C20" s="740">
        <v>4.0</v>
      </c>
      <c r="D20" s="725"/>
      <c r="J20" s="637"/>
      <c r="K20" s="735" t="s">
        <v>751</v>
      </c>
      <c r="L20" s="741">
        <v>0.0</v>
      </c>
    </row>
    <row r="21">
      <c r="A21" s="637"/>
      <c r="B21" s="742" t="s">
        <v>736</v>
      </c>
      <c r="C21" s="738">
        <v>2.0</v>
      </c>
      <c r="D21" s="725"/>
      <c r="J21" s="637"/>
      <c r="K21" s="742" t="s">
        <v>736</v>
      </c>
      <c r="L21" s="739">
        <v>0.0</v>
      </c>
    </row>
    <row r="22">
      <c r="A22" s="637"/>
      <c r="B22" s="735" t="s">
        <v>752</v>
      </c>
      <c r="C22" s="717">
        <v>1.0</v>
      </c>
      <c r="D22" s="725"/>
      <c r="J22" s="637"/>
      <c r="K22" s="735" t="s">
        <v>752</v>
      </c>
      <c r="L22" s="720">
        <v>0.0</v>
      </c>
    </row>
    <row r="23">
      <c r="A23" s="637"/>
      <c r="B23" s="742" t="s">
        <v>753</v>
      </c>
      <c r="C23" s="722">
        <v>9.0</v>
      </c>
      <c r="D23" s="725"/>
      <c r="J23" s="637"/>
      <c r="K23" s="742" t="s">
        <v>753</v>
      </c>
      <c r="L23" s="723">
        <v>0.0</v>
      </c>
    </row>
    <row r="24">
      <c r="A24" s="637"/>
      <c r="B24" s="735" t="s">
        <v>754</v>
      </c>
      <c r="C24" s="717">
        <v>3.0</v>
      </c>
      <c r="D24" s="725"/>
      <c r="J24" s="637"/>
      <c r="K24" s="735" t="s">
        <v>754</v>
      </c>
      <c r="L24" s="720">
        <v>0.0</v>
      </c>
    </row>
    <row r="25">
      <c r="A25" s="637"/>
      <c r="B25" s="742" t="s">
        <v>755</v>
      </c>
      <c r="C25" s="722">
        <v>9.0</v>
      </c>
      <c r="D25" s="725"/>
      <c r="J25" s="637"/>
      <c r="K25" s="742" t="s">
        <v>755</v>
      </c>
      <c r="L25" s="723">
        <v>0.0</v>
      </c>
    </row>
    <row r="26">
      <c r="A26" s="637"/>
      <c r="B26" s="735" t="s">
        <v>756</v>
      </c>
      <c r="C26" s="717">
        <v>12.0</v>
      </c>
      <c r="D26" s="725"/>
      <c r="J26" s="637"/>
      <c r="K26" s="735" t="s">
        <v>756</v>
      </c>
      <c r="L26" s="720">
        <v>0.0</v>
      </c>
    </row>
    <row r="27">
      <c r="A27" s="637"/>
      <c r="B27" s="742" t="s">
        <v>757</v>
      </c>
      <c r="C27" s="722">
        <v>9.0</v>
      </c>
      <c r="D27" s="725"/>
      <c r="J27" s="637"/>
      <c r="K27" s="742" t="s">
        <v>745</v>
      </c>
      <c r="L27" s="723">
        <v>0.0</v>
      </c>
    </row>
    <row r="28">
      <c r="A28" s="637"/>
      <c r="B28" s="735" t="s">
        <v>758</v>
      </c>
      <c r="C28" s="717">
        <v>6.0</v>
      </c>
      <c r="D28" s="725"/>
      <c r="J28" s="637"/>
      <c r="K28" s="735" t="s">
        <v>758</v>
      </c>
      <c r="L28" s="720">
        <v>0.0</v>
      </c>
    </row>
    <row r="29">
      <c r="A29" s="637"/>
      <c r="B29" s="743" t="s">
        <v>759</v>
      </c>
      <c r="C29" s="744">
        <v>9.0</v>
      </c>
      <c r="D29" s="725"/>
      <c r="J29" s="637"/>
      <c r="K29" s="742" t="s">
        <v>759</v>
      </c>
      <c r="L29" s="723">
        <v>0.0</v>
      </c>
    </row>
    <row r="30">
      <c r="A30" s="637"/>
      <c r="B30" s="745" t="s">
        <v>760</v>
      </c>
      <c r="C30" s="717">
        <v>6.0</v>
      </c>
      <c r="D30" s="725"/>
      <c r="J30" s="637"/>
      <c r="K30" s="745"/>
      <c r="L30" s="720"/>
    </row>
    <row r="31">
      <c r="A31" s="516"/>
      <c r="B31" s="745" t="s">
        <v>761</v>
      </c>
      <c r="C31" s="717">
        <v>0.0</v>
      </c>
      <c r="D31" s="725"/>
      <c r="J31" s="516"/>
      <c r="K31" s="745" t="s">
        <v>761</v>
      </c>
      <c r="L31" s="720">
        <v>0.0</v>
      </c>
    </row>
    <row r="32">
      <c r="A32" s="746" t="s">
        <v>762</v>
      </c>
      <c r="B32" s="742" t="s">
        <v>763</v>
      </c>
      <c r="C32" s="722">
        <v>4.0</v>
      </c>
      <c r="D32" s="725"/>
      <c r="J32" s="747" t="s">
        <v>762</v>
      </c>
      <c r="K32" s="742" t="s">
        <v>763</v>
      </c>
      <c r="L32" s="723">
        <v>0.0</v>
      </c>
    </row>
    <row r="33">
      <c r="A33" s="748" t="s">
        <v>764</v>
      </c>
      <c r="B33" s="735" t="s">
        <v>765</v>
      </c>
      <c r="C33" s="717">
        <v>1.0</v>
      </c>
      <c r="D33" s="725"/>
      <c r="J33" s="749" t="s">
        <v>764</v>
      </c>
      <c r="K33" s="735" t="s">
        <v>765</v>
      </c>
      <c r="L33" s="720">
        <v>0.0</v>
      </c>
    </row>
    <row r="34">
      <c r="A34" s="637"/>
      <c r="B34" s="743" t="s">
        <v>766</v>
      </c>
      <c r="C34" s="722">
        <v>1.0</v>
      </c>
      <c r="D34" s="725"/>
      <c r="J34" s="637"/>
      <c r="K34" s="742" t="s">
        <v>766</v>
      </c>
      <c r="L34" s="723">
        <v>0.0</v>
      </c>
    </row>
    <row r="35">
      <c r="A35" s="637"/>
      <c r="B35" s="735" t="s">
        <v>767</v>
      </c>
      <c r="C35" s="717">
        <v>2.0</v>
      </c>
      <c r="D35" s="725"/>
      <c r="J35" s="637"/>
      <c r="K35" s="735" t="s">
        <v>767</v>
      </c>
      <c r="L35" s="720">
        <v>0.0</v>
      </c>
    </row>
    <row r="36">
      <c r="A36" s="637"/>
      <c r="B36" s="742" t="s">
        <v>768</v>
      </c>
      <c r="C36" s="722">
        <v>1.0</v>
      </c>
      <c r="D36" s="725"/>
      <c r="J36" s="637"/>
      <c r="K36" s="742" t="s">
        <v>768</v>
      </c>
      <c r="L36" s="723">
        <v>0.0</v>
      </c>
    </row>
    <row r="37">
      <c r="A37" s="637"/>
      <c r="B37" s="735" t="s">
        <v>769</v>
      </c>
      <c r="C37" s="717">
        <v>1.0</v>
      </c>
      <c r="D37" s="725"/>
      <c r="J37" s="637"/>
      <c r="K37" s="735" t="s">
        <v>769</v>
      </c>
      <c r="L37" s="720">
        <v>0.0</v>
      </c>
    </row>
    <row r="38">
      <c r="A38" s="637"/>
      <c r="B38" s="742" t="s">
        <v>770</v>
      </c>
      <c r="C38" s="722">
        <v>2.0</v>
      </c>
      <c r="D38" s="725"/>
      <c r="J38" s="637"/>
      <c r="K38" s="742" t="s">
        <v>770</v>
      </c>
      <c r="L38" s="723">
        <v>0.0</v>
      </c>
    </row>
    <row r="39">
      <c r="A39" s="637"/>
      <c r="B39" s="735" t="s">
        <v>771</v>
      </c>
      <c r="C39" s="717">
        <v>1.0</v>
      </c>
      <c r="D39" s="725"/>
      <c r="J39" s="637"/>
      <c r="K39" s="735" t="s">
        <v>772</v>
      </c>
      <c r="L39" s="720">
        <v>0.0</v>
      </c>
    </row>
    <row r="40">
      <c r="A40" s="637"/>
      <c r="B40" s="735" t="s">
        <v>773</v>
      </c>
      <c r="C40" s="717">
        <v>1.0</v>
      </c>
      <c r="D40" s="725"/>
      <c r="J40" s="637"/>
      <c r="K40" s="735"/>
      <c r="L40" s="720"/>
    </row>
    <row r="41">
      <c r="A41" s="637"/>
      <c r="B41" s="735" t="s">
        <v>774</v>
      </c>
      <c r="C41" s="722">
        <v>1.0</v>
      </c>
      <c r="D41" s="725"/>
      <c r="J41" s="637"/>
      <c r="K41" s="742" t="s">
        <v>775</v>
      </c>
      <c r="L41" s="723">
        <v>0.0</v>
      </c>
    </row>
    <row r="42">
      <c r="A42" s="637"/>
      <c r="B42" s="742" t="s">
        <v>776</v>
      </c>
      <c r="C42" s="717">
        <v>1.0</v>
      </c>
      <c r="D42" s="725"/>
      <c r="J42" s="637"/>
      <c r="K42" s="735" t="s">
        <v>774</v>
      </c>
      <c r="L42" s="720">
        <v>0.0</v>
      </c>
    </row>
    <row r="43">
      <c r="A43" s="516"/>
      <c r="B43" s="742" t="s">
        <v>777</v>
      </c>
      <c r="C43" s="722">
        <v>1.0</v>
      </c>
      <c r="D43" s="725"/>
      <c r="J43" s="516"/>
      <c r="K43" s="742" t="s">
        <v>778</v>
      </c>
      <c r="L43" s="723">
        <v>0.0</v>
      </c>
    </row>
    <row r="44">
      <c r="A44" s="750" t="s">
        <v>779</v>
      </c>
      <c r="B44" s="735" t="s">
        <v>780</v>
      </c>
      <c r="C44" s="717">
        <v>0.0</v>
      </c>
      <c r="D44" s="725"/>
      <c r="J44" s="751" t="s">
        <v>779</v>
      </c>
      <c r="K44" s="735" t="s">
        <v>781</v>
      </c>
      <c r="L44" s="720">
        <v>0.0</v>
      </c>
    </row>
    <row r="45">
      <c r="A45" s="637"/>
      <c r="B45" s="742" t="s">
        <v>781</v>
      </c>
      <c r="C45" s="722">
        <v>2.0</v>
      </c>
      <c r="D45" s="725"/>
      <c r="J45" s="637"/>
      <c r="K45" s="742" t="s">
        <v>780</v>
      </c>
      <c r="L45" s="723">
        <v>1.0</v>
      </c>
    </row>
    <row r="46">
      <c r="A46" s="637"/>
      <c r="B46" s="735" t="s">
        <v>782</v>
      </c>
      <c r="C46" s="717">
        <v>0.0</v>
      </c>
      <c r="D46" s="725"/>
      <c r="J46" s="637"/>
      <c r="K46" s="735" t="s">
        <v>782</v>
      </c>
      <c r="L46" s="720">
        <v>1.0</v>
      </c>
    </row>
    <row r="47">
      <c r="A47" s="637"/>
      <c r="B47" s="742" t="s">
        <v>783</v>
      </c>
      <c r="C47" s="722">
        <v>1.0</v>
      </c>
      <c r="D47" s="725"/>
      <c r="J47" s="637"/>
      <c r="K47" s="742" t="s">
        <v>783</v>
      </c>
      <c r="L47" s="723">
        <v>1.0</v>
      </c>
    </row>
    <row r="48">
      <c r="A48" s="637"/>
      <c r="B48" s="735" t="s">
        <v>784</v>
      </c>
      <c r="C48" s="717">
        <v>1.0</v>
      </c>
      <c r="D48" s="725"/>
      <c r="J48" s="637"/>
      <c r="K48" s="735" t="s">
        <v>784</v>
      </c>
      <c r="L48" s="720">
        <v>1.0</v>
      </c>
    </row>
    <row r="49">
      <c r="A49" s="637"/>
      <c r="B49" s="742" t="s">
        <v>785</v>
      </c>
      <c r="C49" s="722">
        <v>1.0</v>
      </c>
      <c r="D49" s="725"/>
      <c r="J49" s="637"/>
      <c r="K49" s="742" t="s">
        <v>785</v>
      </c>
      <c r="L49" s="723">
        <v>0.0</v>
      </c>
    </row>
    <row r="50">
      <c r="A50" s="637"/>
      <c r="B50" s="735" t="s">
        <v>786</v>
      </c>
      <c r="C50" s="717">
        <v>0.0</v>
      </c>
      <c r="D50" s="725"/>
      <c r="J50" s="637"/>
      <c r="K50" s="735" t="s">
        <v>786</v>
      </c>
      <c r="L50" s="720">
        <v>1.0</v>
      </c>
    </row>
    <row r="51">
      <c r="A51" s="637"/>
      <c r="B51" s="742" t="s">
        <v>787</v>
      </c>
      <c r="C51" s="722">
        <v>1.0</v>
      </c>
      <c r="D51" s="725"/>
      <c r="J51" s="637"/>
      <c r="K51" s="742" t="s">
        <v>787</v>
      </c>
      <c r="L51" s="723">
        <v>1.0</v>
      </c>
    </row>
    <row r="52">
      <c r="A52" s="637"/>
      <c r="B52" s="735" t="s">
        <v>788</v>
      </c>
      <c r="C52" s="717">
        <v>0.0</v>
      </c>
      <c r="D52" s="725"/>
      <c r="J52" s="637"/>
      <c r="K52" s="735" t="s">
        <v>788</v>
      </c>
      <c r="L52" s="720">
        <v>1.0</v>
      </c>
    </row>
    <row r="53">
      <c r="A53" s="637"/>
      <c r="B53" s="742" t="s">
        <v>789</v>
      </c>
      <c r="C53" s="722">
        <v>3.0</v>
      </c>
      <c r="D53" s="725"/>
      <c r="J53" s="637"/>
      <c r="K53" s="742" t="s">
        <v>789</v>
      </c>
      <c r="L53" s="723">
        <v>1.0</v>
      </c>
    </row>
    <row r="54">
      <c r="A54" s="637"/>
      <c r="B54" s="735" t="s">
        <v>790</v>
      </c>
      <c r="C54" s="717">
        <v>1.0</v>
      </c>
      <c r="D54" s="725"/>
      <c r="J54" s="637"/>
      <c r="K54" s="735" t="s">
        <v>790</v>
      </c>
      <c r="L54" s="720">
        <v>2.0</v>
      </c>
    </row>
    <row r="55">
      <c r="A55" s="637"/>
      <c r="B55" s="742" t="s">
        <v>791</v>
      </c>
      <c r="C55" s="722">
        <v>0.0</v>
      </c>
      <c r="D55" s="725"/>
      <c r="J55" s="637"/>
      <c r="K55" s="742" t="s">
        <v>791</v>
      </c>
      <c r="L55" s="723">
        <v>0.0</v>
      </c>
    </row>
    <row r="56">
      <c r="A56" s="637"/>
      <c r="B56" s="735" t="s">
        <v>792</v>
      </c>
      <c r="C56" s="717">
        <v>5.0</v>
      </c>
      <c r="D56" s="725"/>
      <c r="J56" s="637"/>
      <c r="K56" s="735" t="s">
        <v>792</v>
      </c>
      <c r="L56" s="720">
        <v>7.0</v>
      </c>
    </row>
    <row r="57">
      <c r="A57" s="637"/>
      <c r="B57" s="742" t="s">
        <v>793</v>
      </c>
      <c r="C57" s="722">
        <v>1.0</v>
      </c>
      <c r="D57" s="725"/>
      <c r="J57" s="637"/>
      <c r="K57" s="742" t="s">
        <v>793</v>
      </c>
      <c r="L57" s="723">
        <v>1.0</v>
      </c>
    </row>
    <row r="58">
      <c r="A58" s="637"/>
      <c r="B58" s="735" t="s">
        <v>794</v>
      </c>
      <c r="C58" s="717">
        <v>2.0</v>
      </c>
      <c r="D58" s="725"/>
      <c r="J58" s="637"/>
      <c r="K58" s="735" t="s">
        <v>794</v>
      </c>
      <c r="L58" s="720">
        <v>0.0</v>
      </c>
    </row>
    <row r="59">
      <c r="A59" s="637"/>
      <c r="B59" s="742" t="s">
        <v>795</v>
      </c>
      <c r="C59" s="722">
        <v>2.0</v>
      </c>
      <c r="D59" s="725"/>
      <c r="J59" s="637"/>
      <c r="K59" s="742" t="s">
        <v>795</v>
      </c>
      <c r="L59" s="723">
        <v>1.0</v>
      </c>
    </row>
    <row r="60">
      <c r="A60" s="637"/>
      <c r="B60" s="735" t="s">
        <v>796</v>
      </c>
      <c r="C60" s="717">
        <v>1.0</v>
      </c>
      <c r="D60" s="725"/>
      <c r="J60" s="637"/>
      <c r="K60" s="735" t="s">
        <v>797</v>
      </c>
      <c r="L60" s="720">
        <v>0.0</v>
      </c>
    </row>
    <row r="61">
      <c r="A61" s="637"/>
      <c r="B61" s="742" t="s">
        <v>798</v>
      </c>
      <c r="C61" s="722">
        <v>2.0</v>
      </c>
      <c r="D61" s="725"/>
      <c r="J61" s="637"/>
      <c r="K61" s="735" t="s">
        <v>798</v>
      </c>
      <c r="L61" s="720">
        <v>3.0</v>
      </c>
    </row>
    <row r="62">
      <c r="A62" s="637"/>
      <c r="B62" s="735" t="s">
        <v>799</v>
      </c>
      <c r="C62" s="717">
        <v>4.0</v>
      </c>
      <c r="D62" s="725"/>
      <c r="J62" s="637"/>
      <c r="K62" s="742" t="s">
        <v>799</v>
      </c>
      <c r="L62" s="723">
        <v>3.0</v>
      </c>
    </row>
    <row r="63">
      <c r="A63" s="637"/>
      <c r="B63" s="742" t="s">
        <v>800</v>
      </c>
      <c r="C63" s="722">
        <v>1.0</v>
      </c>
      <c r="D63" s="725"/>
      <c r="J63" s="637"/>
      <c r="K63" s="735" t="s">
        <v>800</v>
      </c>
      <c r="L63" s="720">
        <v>0.0</v>
      </c>
    </row>
    <row r="64">
      <c r="A64" s="637"/>
      <c r="B64" s="735" t="s">
        <v>801</v>
      </c>
      <c r="C64" s="717">
        <v>4.0</v>
      </c>
      <c r="D64" s="725"/>
      <c r="J64" s="637"/>
      <c r="K64" s="742" t="s">
        <v>801</v>
      </c>
      <c r="L64" s="723">
        <v>4.0</v>
      </c>
    </row>
    <row r="65">
      <c r="A65" s="637"/>
      <c r="B65" s="742" t="s">
        <v>802</v>
      </c>
      <c r="C65" s="722">
        <v>3.0</v>
      </c>
      <c r="D65" s="725"/>
      <c r="J65" s="637"/>
      <c r="K65" s="735" t="s">
        <v>802</v>
      </c>
      <c r="L65" s="720">
        <v>2.0</v>
      </c>
    </row>
    <row r="66">
      <c r="A66" s="637"/>
      <c r="B66" s="742" t="s">
        <v>803</v>
      </c>
      <c r="C66" s="722">
        <v>1.0</v>
      </c>
      <c r="D66" s="725"/>
      <c r="J66" s="637"/>
      <c r="K66" s="742" t="s">
        <v>803</v>
      </c>
      <c r="L66" s="723">
        <v>1.0</v>
      </c>
    </row>
    <row r="67">
      <c r="A67" s="637"/>
      <c r="B67" s="735" t="s">
        <v>804</v>
      </c>
      <c r="C67" s="717">
        <v>2.0</v>
      </c>
      <c r="D67" s="725"/>
      <c r="J67" s="637"/>
      <c r="K67" s="735" t="s">
        <v>804</v>
      </c>
      <c r="L67" s="720">
        <v>2.0</v>
      </c>
    </row>
    <row r="68">
      <c r="A68" s="637"/>
      <c r="B68" s="742" t="s">
        <v>805</v>
      </c>
      <c r="C68" s="722">
        <v>3.0</v>
      </c>
      <c r="D68" s="725"/>
      <c r="J68" s="637"/>
      <c r="K68" s="742" t="s">
        <v>805</v>
      </c>
      <c r="L68" s="723">
        <v>2.0</v>
      </c>
    </row>
    <row r="69">
      <c r="A69" s="637"/>
      <c r="B69" s="735" t="s">
        <v>806</v>
      </c>
      <c r="C69" s="717">
        <v>1.0</v>
      </c>
      <c r="D69" s="725"/>
      <c r="J69" s="637"/>
      <c r="K69" s="735" t="s">
        <v>806</v>
      </c>
      <c r="L69" s="720">
        <v>1.0</v>
      </c>
    </row>
    <row r="70">
      <c r="A70" s="637"/>
      <c r="B70" s="742" t="s">
        <v>807</v>
      </c>
      <c r="C70" s="722">
        <v>1.0</v>
      </c>
      <c r="D70" s="725"/>
      <c r="J70" s="637"/>
      <c r="K70" s="742" t="s">
        <v>808</v>
      </c>
      <c r="L70" s="723">
        <v>1.0</v>
      </c>
    </row>
    <row r="71">
      <c r="A71" s="637"/>
      <c r="B71" s="735" t="s">
        <v>809</v>
      </c>
      <c r="C71" s="717">
        <v>2.0</v>
      </c>
      <c r="D71" s="725"/>
      <c r="J71" s="637"/>
      <c r="K71" s="735" t="s">
        <v>809</v>
      </c>
      <c r="L71" s="720">
        <v>1.0</v>
      </c>
    </row>
    <row r="72">
      <c r="A72" s="637"/>
      <c r="B72" s="742" t="s">
        <v>810</v>
      </c>
      <c r="C72" s="722">
        <v>1.0</v>
      </c>
      <c r="D72" s="725"/>
      <c r="J72" s="637"/>
      <c r="K72" s="742" t="s">
        <v>811</v>
      </c>
      <c r="L72" s="723">
        <v>1.0</v>
      </c>
    </row>
    <row r="73">
      <c r="A73" s="637"/>
      <c r="B73" s="735" t="s">
        <v>812</v>
      </c>
      <c r="C73" s="717">
        <v>1.0</v>
      </c>
      <c r="D73" s="725"/>
      <c r="J73" s="637"/>
      <c r="K73" s="735" t="s">
        <v>812</v>
      </c>
      <c r="L73" s="720">
        <v>1.0</v>
      </c>
    </row>
    <row r="74">
      <c r="A74" s="637"/>
      <c r="B74" s="742" t="s">
        <v>813</v>
      </c>
      <c r="C74" s="717">
        <v>1.0</v>
      </c>
      <c r="D74" s="725"/>
      <c r="J74" s="637"/>
      <c r="K74" s="742" t="s">
        <v>814</v>
      </c>
      <c r="L74" s="720">
        <v>0.0</v>
      </c>
    </row>
    <row r="75">
      <c r="A75" s="637"/>
      <c r="B75" s="742" t="s">
        <v>815</v>
      </c>
      <c r="C75" s="722">
        <v>0.0</v>
      </c>
      <c r="D75" s="725"/>
      <c r="J75" s="637"/>
      <c r="K75" s="742" t="s">
        <v>815</v>
      </c>
      <c r="L75" s="723">
        <v>0.0</v>
      </c>
    </row>
    <row r="76">
      <c r="A76" s="637"/>
      <c r="B76" s="735" t="s">
        <v>816</v>
      </c>
      <c r="C76" s="717">
        <v>0.0</v>
      </c>
      <c r="D76" s="725"/>
      <c r="J76" s="637"/>
      <c r="K76" s="735" t="s">
        <v>816</v>
      </c>
      <c r="L76" s="720">
        <v>0.0</v>
      </c>
    </row>
    <row r="77">
      <c r="A77" s="637"/>
      <c r="B77" s="742" t="s">
        <v>817</v>
      </c>
      <c r="C77" s="722">
        <v>5.0</v>
      </c>
      <c r="D77" s="725"/>
      <c r="J77" s="637"/>
      <c r="K77" s="742" t="s">
        <v>817</v>
      </c>
      <c r="L77" s="723">
        <v>5.0</v>
      </c>
    </row>
    <row r="78">
      <c r="A78" s="637"/>
      <c r="B78" s="735" t="s">
        <v>818</v>
      </c>
      <c r="C78" s="717">
        <v>1.0</v>
      </c>
      <c r="D78" s="725"/>
      <c r="J78" s="637"/>
      <c r="K78" s="735" t="s">
        <v>819</v>
      </c>
      <c r="L78" s="720">
        <v>1.0</v>
      </c>
    </row>
    <row r="79">
      <c r="A79" s="637"/>
      <c r="B79" s="742" t="s">
        <v>820</v>
      </c>
      <c r="C79" s="722">
        <v>1.0</v>
      </c>
      <c r="D79" s="725"/>
      <c r="J79" s="637"/>
      <c r="K79" s="742" t="s">
        <v>820</v>
      </c>
      <c r="L79" s="723">
        <v>1.0</v>
      </c>
    </row>
    <row r="80">
      <c r="A80" s="637"/>
      <c r="B80" s="735" t="s">
        <v>821</v>
      </c>
      <c r="C80" s="717">
        <v>1.0</v>
      </c>
      <c r="D80" s="725"/>
      <c r="J80" s="637"/>
      <c r="K80" s="735" t="s">
        <v>821</v>
      </c>
      <c r="L80" s="720">
        <v>0.0</v>
      </c>
    </row>
    <row r="81">
      <c r="A81" s="637"/>
      <c r="B81" s="742" t="s">
        <v>822</v>
      </c>
      <c r="C81" s="722">
        <v>1.0</v>
      </c>
      <c r="D81" s="725"/>
      <c r="J81" s="637"/>
      <c r="K81" s="742" t="s">
        <v>823</v>
      </c>
      <c r="L81" s="723">
        <v>1.0</v>
      </c>
    </row>
    <row r="82">
      <c r="A82" s="637"/>
      <c r="B82" s="735" t="s">
        <v>824</v>
      </c>
      <c r="C82" s="717">
        <v>2.0</v>
      </c>
      <c r="D82" s="725"/>
      <c r="J82" s="637"/>
      <c r="K82" s="735" t="s">
        <v>824</v>
      </c>
      <c r="L82" s="720">
        <v>2.0</v>
      </c>
    </row>
    <row r="83">
      <c r="A83" s="637"/>
      <c r="B83" s="742" t="s">
        <v>825</v>
      </c>
      <c r="C83" s="722">
        <v>1.0</v>
      </c>
      <c r="D83" s="725"/>
      <c r="J83" s="637"/>
      <c r="K83" s="742" t="s">
        <v>826</v>
      </c>
      <c r="L83" s="723">
        <v>1.0</v>
      </c>
    </row>
    <row r="84">
      <c r="A84" s="637"/>
      <c r="B84" s="735" t="s">
        <v>827</v>
      </c>
      <c r="C84" s="717">
        <v>1.0</v>
      </c>
      <c r="D84" s="725"/>
      <c r="J84" s="637"/>
      <c r="K84" s="735" t="s">
        <v>827</v>
      </c>
      <c r="L84" s="720">
        <v>1.0</v>
      </c>
    </row>
    <row r="85">
      <c r="A85" s="637"/>
      <c r="B85" s="742" t="s">
        <v>828</v>
      </c>
      <c r="C85" s="722">
        <v>7.0</v>
      </c>
      <c r="D85" s="725"/>
      <c r="J85" s="637"/>
      <c r="K85" s="742" t="s">
        <v>828</v>
      </c>
      <c r="L85" s="723">
        <v>6.0</v>
      </c>
    </row>
    <row r="86">
      <c r="A86" s="637"/>
      <c r="B86" s="735" t="s">
        <v>829</v>
      </c>
      <c r="C86" s="717">
        <v>0.0</v>
      </c>
      <c r="D86" s="725"/>
      <c r="J86" s="637"/>
      <c r="K86" s="735" t="s">
        <v>829</v>
      </c>
      <c r="L86" s="720">
        <v>0.0</v>
      </c>
    </row>
    <row r="87">
      <c r="A87" s="637"/>
      <c r="B87" s="742" t="s">
        <v>830</v>
      </c>
      <c r="C87" s="722">
        <v>1.0</v>
      </c>
      <c r="D87" s="725"/>
      <c r="J87" s="637"/>
      <c r="K87" s="742" t="s">
        <v>831</v>
      </c>
      <c r="L87" s="723">
        <v>1.0</v>
      </c>
    </row>
    <row r="88">
      <c r="A88" s="637"/>
      <c r="B88" s="735" t="s">
        <v>832</v>
      </c>
      <c r="C88" s="717">
        <v>1.0</v>
      </c>
      <c r="D88" s="725"/>
      <c r="J88" s="637"/>
      <c r="K88" s="735" t="s">
        <v>833</v>
      </c>
      <c r="L88" s="720">
        <v>0.0</v>
      </c>
    </row>
    <row r="89">
      <c r="A89" s="637"/>
      <c r="B89" s="742" t="s">
        <v>834</v>
      </c>
      <c r="C89" s="722">
        <v>2.0</v>
      </c>
      <c r="D89" s="725"/>
      <c r="J89" s="637"/>
      <c r="K89" s="742" t="s">
        <v>834</v>
      </c>
      <c r="L89" s="723">
        <v>3.0</v>
      </c>
    </row>
    <row r="90">
      <c r="A90" s="637"/>
      <c r="B90" s="735" t="s">
        <v>835</v>
      </c>
      <c r="C90" s="717">
        <v>7.0</v>
      </c>
      <c r="D90" s="725"/>
      <c r="J90" s="637"/>
      <c r="K90" s="735" t="s">
        <v>835</v>
      </c>
      <c r="L90" s="720">
        <v>8.0</v>
      </c>
    </row>
    <row r="91">
      <c r="A91" s="637"/>
      <c r="B91" s="742" t="s">
        <v>836</v>
      </c>
      <c r="C91" s="722">
        <v>1.0</v>
      </c>
      <c r="D91" s="725"/>
      <c r="J91" s="637"/>
      <c r="K91" s="742" t="s">
        <v>836</v>
      </c>
      <c r="L91" s="723">
        <v>2.0</v>
      </c>
    </row>
    <row r="92">
      <c r="A92" s="637"/>
      <c r="B92" s="735" t="s">
        <v>837</v>
      </c>
      <c r="C92" s="717">
        <v>1.0</v>
      </c>
      <c r="D92" s="725"/>
      <c r="J92" s="637"/>
      <c r="K92" s="735" t="s">
        <v>838</v>
      </c>
      <c r="L92" s="720">
        <v>1.0</v>
      </c>
    </row>
    <row r="93">
      <c r="A93" s="637"/>
      <c r="B93" s="742" t="s">
        <v>839</v>
      </c>
      <c r="C93" s="722">
        <v>1.0</v>
      </c>
      <c r="D93" s="725"/>
      <c r="J93" s="637"/>
      <c r="K93" s="742" t="s">
        <v>839</v>
      </c>
      <c r="L93" s="723">
        <v>2.0</v>
      </c>
    </row>
    <row r="94">
      <c r="A94" s="637"/>
      <c r="B94" s="735" t="s">
        <v>840</v>
      </c>
      <c r="C94" s="717">
        <v>0.0</v>
      </c>
      <c r="D94" s="725"/>
      <c r="J94" s="637"/>
      <c r="K94" s="735" t="s">
        <v>840</v>
      </c>
      <c r="L94" s="720">
        <v>2.0</v>
      </c>
    </row>
    <row r="95">
      <c r="A95" s="637"/>
      <c r="B95" s="742" t="s">
        <v>841</v>
      </c>
      <c r="C95" s="722">
        <v>1.0</v>
      </c>
      <c r="D95" s="725"/>
      <c r="J95" s="637"/>
      <c r="K95" s="742" t="s">
        <v>841</v>
      </c>
      <c r="L95" s="723">
        <v>0.0</v>
      </c>
    </row>
    <row r="96">
      <c r="A96" s="637"/>
      <c r="B96" s="735" t="s">
        <v>842</v>
      </c>
      <c r="C96" s="717">
        <v>1.0</v>
      </c>
      <c r="D96" s="725"/>
      <c r="J96" s="637"/>
      <c r="K96" s="735" t="s">
        <v>842</v>
      </c>
      <c r="L96" s="720">
        <v>1.0</v>
      </c>
    </row>
    <row r="97">
      <c r="A97" s="637"/>
      <c r="B97" s="742" t="s">
        <v>843</v>
      </c>
      <c r="C97" s="722">
        <v>1.0</v>
      </c>
      <c r="D97" s="725"/>
      <c r="J97" s="637"/>
      <c r="K97" s="742" t="s">
        <v>843</v>
      </c>
      <c r="L97" s="723">
        <v>1.0</v>
      </c>
    </row>
    <row r="98">
      <c r="A98" s="637"/>
      <c r="B98" s="735" t="s">
        <v>844</v>
      </c>
      <c r="C98" s="717">
        <v>1.0</v>
      </c>
      <c r="D98" s="725"/>
      <c r="J98" s="637"/>
      <c r="K98" s="735" t="s">
        <v>844</v>
      </c>
      <c r="L98" s="720">
        <v>0.0</v>
      </c>
    </row>
    <row r="99">
      <c r="A99" s="637"/>
      <c r="B99" s="742" t="s">
        <v>845</v>
      </c>
      <c r="C99" s="722">
        <v>2.0</v>
      </c>
      <c r="D99" s="725"/>
      <c r="J99" s="637"/>
      <c r="K99" s="742" t="s">
        <v>846</v>
      </c>
      <c r="L99" s="723">
        <v>2.0</v>
      </c>
    </row>
    <row r="100">
      <c r="A100" s="637"/>
      <c r="B100" s="735" t="s">
        <v>847</v>
      </c>
      <c r="C100" s="717">
        <v>2.0</v>
      </c>
      <c r="D100" s="725"/>
      <c r="J100" s="637"/>
      <c r="K100" s="735" t="s">
        <v>848</v>
      </c>
      <c r="L100" s="720">
        <v>1.0</v>
      </c>
    </row>
    <row r="101">
      <c r="A101" s="637"/>
      <c r="B101" s="742" t="s">
        <v>849</v>
      </c>
      <c r="C101" s="722">
        <v>0.0</v>
      </c>
      <c r="D101" s="725"/>
      <c r="J101" s="637"/>
      <c r="K101" s="742" t="s">
        <v>850</v>
      </c>
      <c r="L101" s="723">
        <v>0.0</v>
      </c>
    </row>
    <row r="102">
      <c r="A102" s="637"/>
      <c r="B102" s="735" t="s">
        <v>851</v>
      </c>
      <c r="C102" s="717">
        <v>2.0</v>
      </c>
      <c r="D102" s="725"/>
      <c r="J102" s="637"/>
      <c r="K102" s="735" t="s">
        <v>851</v>
      </c>
      <c r="L102" s="720">
        <v>1.0</v>
      </c>
    </row>
    <row r="103">
      <c r="A103" s="637"/>
      <c r="B103" s="742" t="s">
        <v>852</v>
      </c>
      <c r="C103" s="722">
        <v>2.0</v>
      </c>
      <c r="D103" s="725"/>
      <c r="J103" s="637"/>
      <c r="K103" s="742" t="s">
        <v>852</v>
      </c>
      <c r="L103" s="723">
        <v>1.0</v>
      </c>
    </row>
    <row r="104">
      <c r="A104" s="637"/>
      <c r="B104" s="735" t="s">
        <v>853</v>
      </c>
      <c r="C104" s="717">
        <v>2.0</v>
      </c>
      <c r="D104" s="725"/>
      <c r="J104" s="637"/>
      <c r="K104" s="735" t="s">
        <v>853</v>
      </c>
      <c r="L104" s="720">
        <v>0.0</v>
      </c>
    </row>
    <row r="105">
      <c r="A105" s="637"/>
      <c r="B105" s="742" t="s">
        <v>854</v>
      </c>
      <c r="C105" s="722">
        <v>1.0</v>
      </c>
      <c r="D105" s="725"/>
      <c r="J105" s="637"/>
      <c r="K105" s="742" t="s">
        <v>854</v>
      </c>
      <c r="L105" s="723">
        <v>1.0</v>
      </c>
    </row>
    <row r="106">
      <c r="A106" s="637"/>
      <c r="B106" s="735" t="s">
        <v>855</v>
      </c>
      <c r="C106" s="717">
        <v>7.0</v>
      </c>
      <c r="D106" s="725"/>
      <c r="J106" s="637"/>
      <c r="K106" s="735" t="s">
        <v>855</v>
      </c>
      <c r="L106" s="720">
        <v>9.0</v>
      </c>
    </row>
    <row r="107">
      <c r="A107" s="637"/>
      <c r="B107" s="742" t="s">
        <v>856</v>
      </c>
      <c r="C107" s="722">
        <v>6.0</v>
      </c>
      <c r="D107" s="725"/>
      <c r="J107" s="637"/>
      <c r="K107" s="742" t="s">
        <v>856</v>
      </c>
      <c r="L107" s="723">
        <v>8.0</v>
      </c>
      <c r="R107" s="58" t="s">
        <v>24</v>
      </c>
    </row>
    <row r="108">
      <c r="A108" s="637"/>
      <c r="B108" s="735" t="s">
        <v>857</v>
      </c>
      <c r="C108" s="717">
        <v>0.0</v>
      </c>
      <c r="D108" s="725"/>
      <c r="J108" s="637"/>
      <c r="K108" s="735" t="s">
        <v>858</v>
      </c>
      <c r="L108" s="720">
        <v>0.0</v>
      </c>
    </row>
    <row r="109">
      <c r="A109" s="637"/>
      <c r="B109" s="742" t="s">
        <v>859</v>
      </c>
      <c r="C109" s="722">
        <v>2.0</v>
      </c>
      <c r="D109" s="725"/>
      <c r="J109" s="637"/>
      <c r="K109" s="742" t="s">
        <v>859</v>
      </c>
      <c r="L109" s="723">
        <v>2.0</v>
      </c>
    </row>
    <row r="110">
      <c r="A110" s="637"/>
      <c r="B110" s="735" t="s">
        <v>860</v>
      </c>
      <c r="C110" s="717">
        <v>0.0</v>
      </c>
      <c r="D110" s="725"/>
      <c r="J110" s="637"/>
      <c r="K110" s="735" t="s">
        <v>860</v>
      </c>
      <c r="L110" s="720">
        <v>0.0</v>
      </c>
    </row>
    <row r="111">
      <c r="A111" s="637"/>
      <c r="B111" s="752" t="s">
        <v>861</v>
      </c>
      <c r="C111" s="722">
        <v>0.0</v>
      </c>
      <c r="D111" s="725"/>
      <c r="J111" s="637"/>
      <c r="K111" s="752" t="s">
        <v>862</v>
      </c>
      <c r="L111" s="723">
        <v>0.0</v>
      </c>
    </row>
    <row r="112">
      <c r="A112" s="637"/>
      <c r="B112" s="753" t="s">
        <v>863</v>
      </c>
      <c r="C112" s="717">
        <v>2.0</v>
      </c>
      <c r="D112" s="725"/>
      <c r="J112" s="637"/>
      <c r="K112" s="753" t="s">
        <v>864</v>
      </c>
      <c r="L112" s="720">
        <v>1.0</v>
      </c>
    </row>
    <row r="113">
      <c r="A113" s="637"/>
      <c r="B113" s="752" t="s">
        <v>865</v>
      </c>
      <c r="C113" s="722">
        <v>0.0</v>
      </c>
      <c r="D113" s="725"/>
      <c r="J113" s="637"/>
      <c r="K113" s="752" t="s">
        <v>866</v>
      </c>
      <c r="L113" s="723">
        <v>0.0</v>
      </c>
    </row>
    <row r="114">
      <c r="A114" s="637"/>
      <c r="B114" s="753" t="s">
        <v>867</v>
      </c>
      <c r="C114" s="754">
        <v>0.0</v>
      </c>
      <c r="D114" s="755"/>
      <c r="E114" s="756"/>
      <c r="F114" s="757"/>
      <c r="G114" s="758"/>
      <c r="H114" s="759"/>
      <c r="J114" s="637"/>
      <c r="K114" s="753" t="s">
        <v>867</v>
      </c>
      <c r="L114" s="760">
        <v>1.0</v>
      </c>
      <c r="M114" s="25"/>
      <c r="N114" s="757"/>
      <c r="O114" s="758"/>
      <c r="P114" s="759"/>
    </row>
    <row r="115">
      <c r="A115" s="637"/>
      <c r="B115" s="761" t="s">
        <v>868</v>
      </c>
      <c r="C115" s="762">
        <v>1.0</v>
      </c>
      <c r="D115" s="755"/>
      <c r="E115" s="756"/>
      <c r="F115" s="757"/>
      <c r="G115" s="758"/>
      <c r="H115" s="759"/>
      <c r="J115" s="637"/>
      <c r="K115" s="761" t="s">
        <v>868</v>
      </c>
      <c r="L115" s="763">
        <v>0.0</v>
      </c>
      <c r="M115" s="25"/>
      <c r="N115" s="757"/>
      <c r="O115" s="758"/>
      <c r="P115" s="759"/>
    </row>
    <row r="116">
      <c r="A116" s="516"/>
      <c r="B116" s="753" t="s">
        <v>869</v>
      </c>
      <c r="C116" s="754">
        <v>0.0</v>
      </c>
      <c r="D116" s="755"/>
      <c r="E116" s="756"/>
      <c r="F116" s="757"/>
      <c r="G116" s="758"/>
      <c r="H116" s="759"/>
      <c r="J116" s="516"/>
      <c r="K116" s="753" t="s">
        <v>869</v>
      </c>
      <c r="L116" s="760">
        <v>0.0</v>
      </c>
      <c r="M116" s="25"/>
      <c r="N116" s="757"/>
      <c r="O116" s="758"/>
      <c r="P116" s="759"/>
    </row>
    <row r="117">
      <c r="A117" s="764" t="s">
        <v>870</v>
      </c>
      <c r="B117" s="735" t="s">
        <v>871</v>
      </c>
      <c r="C117" s="754">
        <v>6.0</v>
      </c>
      <c r="D117" s="755"/>
      <c r="E117" s="765" t="s">
        <v>872</v>
      </c>
      <c r="F117" s="735" t="s">
        <v>871</v>
      </c>
      <c r="G117" s="760"/>
      <c r="H117" s="766">
        <v>0.0</v>
      </c>
      <c r="J117" s="767" t="s">
        <v>870</v>
      </c>
      <c r="K117" s="735" t="s">
        <v>871</v>
      </c>
      <c r="L117" s="760">
        <v>2.0</v>
      </c>
      <c r="M117" s="736" t="s">
        <v>872</v>
      </c>
      <c r="N117" s="735" t="s">
        <v>871</v>
      </c>
      <c r="O117" s="760"/>
      <c r="P117" s="766">
        <v>0.0</v>
      </c>
    </row>
    <row r="118">
      <c r="A118" s="637"/>
      <c r="B118" s="742" t="s">
        <v>873</v>
      </c>
      <c r="C118" s="768">
        <v>0.0</v>
      </c>
      <c r="D118" s="755"/>
      <c r="E118" s="596"/>
      <c r="F118" s="769" t="s">
        <v>873</v>
      </c>
      <c r="G118" s="12"/>
      <c r="H118" s="770">
        <v>0.0</v>
      </c>
      <c r="J118" s="637"/>
      <c r="K118" s="742" t="s">
        <v>873</v>
      </c>
      <c r="L118" s="771">
        <v>3.0</v>
      </c>
      <c r="M118" s="637"/>
      <c r="N118" s="769" t="s">
        <v>873</v>
      </c>
      <c r="O118" s="12"/>
      <c r="P118" s="770">
        <v>0.0</v>
      </c>
    </row>
    <row r="119">
      <c r="A119" s="637"/>
      <c r="B119" s="735" t="s">
        <v>874</v>
      </c>
      <c r="C119" s="754">
        <v>0.0</v>
      </c>
      <c r="D119" s="755"/>
      <c r="E119" s="596"/>
      <c r="F119" s="772" t="s">
        <v>874</v>
      </c>
      <c r="G119" s="12"/>
      <c r="H119" s="766">
        <v>0.0</v>
      </c>
      <c r="J119" s="637"/>
      <c r="K119" s="735" t="s">
        <v>874</v>
      </c>
      <c r="L119" s="760">
        <v>2.0</v>
      </c>
      <c r="M119" s="637"/>
      <c r="N119" s="772" t="s">
        <v>874</v>
      </c>
      <c r="O119" s="12"/>
      <c r="P119" s="766">
        <v>0.0</v>
      </c>
    </row>
    <row r="120">
      <c r="A120" s="637"/>
      <c r="B120" s="742" t="s">
        <v>875</v>
      </c>
      <c r="C120" s="768">
        <v>3.0</v>
      </c>
      <c r="D120" s="755"/>
      <c r="E120" s="596"/>
      <c r="F120" s="769" t="s">
        <v>875</v>
      </c>
      <c r="G120" s="12"/>
      <c r="H120" s="773">
        <v>0.0</v>
      </c>
      <c r="I120" s="774"/>
      <c r="J120" s="637"/>
      <c r="K120" s="742" t="s">
        <v>875</v>
      </c>
      <c r="L120" s="771">
        <v>2.0</v>
      </c>
      <c r="M120" s="637"/>
      <c r="N120" s="769" t="s">
        <v>875</v>
      </c>
      <c r="O120" s="12"/>
      <c r="P120" s="770">
        <v>0.0</v>
      </c>
    </row>
    <row r="121">
      <c r="A121" s="637"/>
      <c r="B121" s="735" t="s">
        <v>876</v>
      </c>
      <c r="C121" s="754">
        <v>3.0</v>
      </c>
      <c r="D121" s="755"/>
      <c r="E121" s="596"/>
      <c r="F121" s="772" t="s">
        <v>751</v>
      </c>
      <c r="G121" s="12"/>
      <c r="H121" s="775">
        <v>4.0</v>
      </c>
      <c r="I121" s="755"/>
      <c r="J121" s="637"/>
      <c r="K121" s="735" t="s">
        <v>876</v>
      </c>
      <c r="L121" s="760">
        <v>6.0</v>
      </c>
      <c r="M121" s="637"/>
      <c r="N121" s="772" t="s">
        <v>751</v>
      </c>
      <c r="O121" s="12"/>
      <c r="P121" s="766">
        <v>4.0</v>
      </c>
    </row>
    <row r="122">
      <c r="A122" s="637"/>
      <c r="B122" s="742" t="s">
        <v>877</v>
      </c>
      <c r="C122" s="768">
        <v>3.0</v>
      </c>
      <c r="D122" s="755"/>
      <c r="E122" s="596"/>
      <c r="F122" s="769" t="s">
        <v>878</v>
      </c>
      <c r="G122" s="12"/>
      <c r="H122" s="773">
        <v>5.0</v>
      </c>
      <c r="I122" s="755"/>
      <c r="J122" s="637"/>
      <c r="K122" s="742" t="s">
        <v>877</v>
      </c>
      <c r="L122" s="771">
        <v>2.0</v>
      </c>
      <c r="M122" s="637"/>
      <c r="N122" s="769" t="s">
        <v>879</v>
      </c>
      <c r="O122" s="12"/>
      <c r="P122" s="770">
        <v>5.0</v>
      </c>
    </row>
    <row r="123">
      <c r="A123" s="637"/>
      <c r="B123" s="735" t="s">
        <v>880</v>
      </c>
      <c r="C123" s="754">
        <v>3.0</v>
      </c>
      <c r="D123" s="755"/>
      <c r="E123" s="596"/>
      <c r="F123" s="772" t="s">
        <v>736</v>
      </c>
      <c r="G123" s="12"/>
      <c r="H123" s="775">
        <v>5.0</v>
      </c>
      <c r="I123" s="755"/>
      <c r="J123" s="637"/>
      <c r="K123" s="735" t="s">
        <v>880</v>
      </c>
      <c r="L123" s="760">
        <v>2.0</v>
      </c>
      <c r="M123" s="637"/>
      <c r="N123" s="772" t="s">
        <v>736</v>
      </c>
      <c r="O123" s="12"/>
      <c r="P123" s="766">
        <v>11.0</v>
      </c>
    </row>
    <row r="124">
      <c r="A124" s="637"/>
      <c r="B124" s="742" t="s">
        <v>881</v>
      </c>
      <c r="C124" s="768">
        <v>0.0</v>
      </c>
      <c r="D124" s="755"/>
      <c r="E124" s="596"/>
      <c r="F124" s="769" t="s">
        <v>752</v>
      </c>
      <c r="G124" s="12"/>
      <c r="H124" s="773">
        <v>5.0</v>
      </c>
      <c r="I124" s="755"/>
      <c r="J124" s="637"/>
      <c r="K124" s="742" t="s">
        <v>881</v>
      </c>
      <c r="L124" s="771">
        <v>1.0</v>
      </c>
      <c r="M124" s="637"/>
      <c r="N124" s="769" t="s">
        <v>752</v>
      </c>
      <c r="O124" s="12"/>
      <c r="P124" s="770">
        <v>5.0</v>
      </c>
    </row>
    <row r="125">
      <c r="A125" s="637"/>
      <c r="B125" s="735" t="s">
        <v>882</v>
      </c>
      <c r="C125" s="754">
        <v>0.0</v>
      </c>
      <c r="D125" s="755"/>
      <c r="E125" s="596"/>
      <c r="F125" s="772" t="s">
        <v>739</v>
      </c>
      <c r="G125" s="12"/>
      <c r="H125" s="775">
        <v>6.0</v>
      </c>
      <c r="I125" s="755"/>
      <c r="J125" s="637"/>
      <c r="K125" s="735" t="s">
        <v>882</v>
      </c>
      <c r="L125" s="760">
        <v>0.0</v>
      </c>
      <c r="M125" s="637"/>
      <c r="N125" s="772" t="s">
        <v>739</v>
      </c>
      <c r="O125" s="12"/>
      <c r="P125" s="766">
        <v>0.0</v>
      </c>
    </row>
    <row r="126">
      <c r="A126" s="637"/>
      <c r="B126" s="742" t="s">
        <v>883</v>
      </c>
      <c r="C126" s="722">
        <v>1.0</v>
      </c>
      <c r="D126" s="755"/>
      <c r="E126" s="596"/>
      <c r="F126" s="769" t="s">
        <v>884</v>
      </c>
      <c r="G126" s="12"/>
      <c r="H126" s="773">
        <v>2.0</v>
      </c>
      <c r="I126" s="755"/>
      <c r="J126" s="637"/>
      <c r="K126" s="742" t="s">
        <v>883</v>
      </c>
      <c r="L126" s="723">
        <v>1.0</v>
      </c>
      <c r="M126" s="637"/>
      <c r="N126" s="769" t="s">
        <v>741</v>
      </c>
      <c r="O126" s="12"/>
      <c r="P126" s="770">
        <v>9.0</v>
      </c>
    </row>
    <row r="127">
      <c r="A127" s="637"/>
      <c r="B127" s="735" t="s">
        <v>885</v>
      </c>
      <c r="C127" s="717">
        <v>2.0</v>
      </c>
      <c r="D127" s="755"/>
      <c r="E127" s="596"/>
      <c r="F127" s="772" t="s">
        <v>885</v>
      </c>
      <c r="G127" s="12"/>
      <c r="H127" s="775">
        <v>5.0</v>
      </c>
      <c r="I127" s="755"/>
      <c r="J127" s="637"/>
      <c r="K127" s="735" t="s">
        <v>885</v>
      </c>
      <c r="L127" s="720">
        <v>1.0</v>
      </c>
      <c r="M127" s="637"/>
      <c r="N127" s="772" t="s">
        <v>885</v>
      </c>
      <c r="O127" s="12"/>
      <c r="P127" s="766">
        <v>8.0</v>
      </c>
    </row>
    <row r="128">
      <c r="A128" s="637"/>
      <c r="B128" s="742" t="s">
        <v>886</v>
      </c>
      <c r="C128" s="722">
        <v>0.0</v>
      </c>
      <c r="D128" s="725"/>
      <c r="E128" s="596"/>
      <c r="F128" s="769" t="s">
        <v>887</v>
      </c>
      <c r="G128" s="12"/>
      <c r="H128" s="773">
        <v>0.0</v>
      </c>
      <c r="I128" s="774"/>
      <c r="J128" s="637"/>
      <c r="K128" s="742" t="s">
        <v>886</v>
      </c>
      <c r="L128" s="723">
        <v>0.0</v>
      </c>
      <c r="M128" s="637"/>
      <c r="N128" s="769" t="s">
        <v>742</v>
      </c>
      <c r="O128" s="12"/>
      <c r="P128" s="770">
        <v>0.0</v>
      </c>
    </row>
    <row r="129">
      <c r="A129" s="637"/>
      <c r="B129" s="735" t="s">
        <v>888</v>
      </c>
      <c r="C129" s="717">
        <v>1.0</v>
      </c>
      <c r="D129" s="725"/>
      <c r="E129" s="596"/>
      <c r="F129" s="772" t="s">
        <v>889</v>
      </c>
      <c r="G129" s="12"/>
      <c r="H129" s="775">
        <v>0.0</v>
      </c>
      <c r="I129" s="774"/>
      <c r="J129" s="637"/>
      <c r="K129" s="735" t="s">
        <v>889</v>
      </c>
      <c r="L129" s="720">
        <v>0.0</v>
      </c>
      <c r="M129" s="637"/>
      <c r="N129" s="772" t="s">
        <v>889</v>
      </c>
      <c r="O129" s="12"/>
      <c r="P129" s="766">
        <v>0.0</v>
      </c>
    </row>
    <row r="130">
      <c r="A130" s="637"/>
      <c r="B130" s="742" t="s">
        <v>890</v>
      </c>
      <c r="C130" s="722">
        <v>0.0</v>
      </c>
      <c r="D130" s="725"/>
      <c r="E130" s="596"/>
      <c r="F130" s="769" t="s">
        <v>891</v>
      </c>
      <c r="G130" s="12"/>
      <c r="H130" s="773">
        <v>13.0</v>
      </c>
      <c r="I130" s="755"/>
      <c r="J130" s="637"/>
      <c r="K130" s="742" t="s">
        <v>892</v>
      </c>
      <c r="L130" s="723">
        <v>0.0</v>
      </c>
      <c r="M130" s="637"/>
      <c r="N130" s="769" t="s">
        <v>891</v>
      </c>
      <c r="O130" s="12"/>
      <c r="P130" s="770">
        <v>0.0</v>
      </c>
    </row>
    <row r="131">
      <c r="A131" s="637"/>
      <c r="B131" s="735" t="s">
        <v>745</v>
      </c>
      <c r="C131" s="717">
        <v>0.0</v>
      </c>
      <c r="D131" s="725"/>
      <c r="E131" s="596"/>
      <c r="F131" s="772" t="s">
        <v>893</v>
      </c>
      <c r="G131" s="12"/>
      <c r="H131" s="754">
        <v>0.0</v>
      </c>
      <c r="I131" s="774"/>
      <c r="J131" s="637"/>
      <c r="K131" s="735" t="s">
        <v>893</v>
      </c>
      <c r="L131" s="720">
        <v>0.0</v>
      </c>
      <c r="M131" s="637"/>
      <c r="N131" s="772" t="s">
        <v>893</v>
      </c>
      <c r="O131" s="12"/>
      <c r="P131" s="766">
        <v>0.0</v>
      </c>
    </row>
    <row r="132">
      <c r="A132" s="637"/>
      <c r="B132" s="742" t="s">
        <v>894</v>
      </c>
      <c r="C132" s="722">
        <v>0.0</v>
      </c>
      <c r="D132" s="725"/>
      <c r="E132" s="596"/>
      <c r="F132" s="769" t="s">
        <v>895</v>
      </c>
      <c r="G132" s="12"/>
      <c r="H132" s="722">
        <v>0.0</v>
      </c>
      <c r="I132" s="774"/>
      <c r="J132" s="637"/>
      <c r="K132" s="742" t="s">
        <v>894</v>
      </c>
      <c r="L132" s="723">
        <v>0.0</v>
      </c>
      <c r="M132" s="637"/>
      <c r="N132" s="742" t="s">
        <v>894</v>
      </c>
      <c r="O132" s="742"/>
      <c r="P132" s="723">
        <v>0.0</v>
      </c>
    </row>
    <row r="133">
      <c r="A133" s="637"/>
      <c r="B133" s="735" t="s">
        <v>896</v>
      </c>
      <c r="C133" s="717">
        <v>0.0</v>
      </c>
      <c r="D133" s="725"/>
      <c r="E133" s="596"/>
      <c r="F133" s="776" t="s">
        <v>897</v>
      </c>
      <c r="G133" s="561"/>
      <c r="H133" s="717">
        <v>2.0</v>
      </c>
      <c r="I133" s="774"/>
      <c r="J133" s="637"/>
      <c r="K133" s="735" t="s">
        <v>896</v>
      </c>
      <c r="L133" s="720">
        <v>0.0</v>
      </c>
      <c r="M133" s="637"/>
      <c r="N133" s="772" t="s">
        <v>897</v>
      </c>
      <c r="O133" s="12"/>
      <c r="P133" s="720">
        <v>0.0</v>
      </c>
    </row>
    <row r="134">
      <c r="A134" s="637"/>
      <c r="B134" s="742" t="s">
        <v>898</v>
      </c>
      <c r="C134" s="722">
        <v>0.0</v>
      </c>
      <c r="D134" s="725"/>
      <c r="E134" s="596"/>
      <c r="F134" s="769" t="s">
        <v>899</v>
      </c>
      <c r="G134" s="12"/>
      <c r="H134" s="722">
        <v>9.0</v>
      </c>
      <c r="I134" s="755"/>
      <c r="J134" s="637"/>
      <c r="K134" s="742" t="s">
        <v>899</v>
      </c>
      <c r="L134" s="723">
        <v>0.0</v>
      </c>
      <c r="M134" s="637"/>
      <c r="N134" s="769" t="s">
        <v>899</v>
      </c>
      <c r="O134" s="12"/>
      <c r="P134" s="723">
        <v>0.0</v>
      </c>
    </row>
    <row r="135">
      <c r="A135" s="637"/>
      <c r="B135" s="735" t="s">
        <v>900</v>
      </c>
      <c r="C135" s="717">
        <v>0.0</v>
      </c>
      <c r="D135" s="725"/>
      <c r="E135" s="596"/>
      <c r="F135" s="777" t="s">
        <v>900</v>
      </c>
      <c r="G135" s="12"/>
      <c r="H135" s="778">
        <v>10.0</v>
      </c>
      <c r="I135" s="755"/>
      <c r="J135" s="637"/>
      <c r="K135" s="735" t="s">
        <v>900</v>
      </c>
      <c r="L135" s="720">
        <v>0.0</v>
      </c>
      <c r="M135" s="637"/>
      <c r="N135" s="772" t="s">
        <v>901</v>
      </c>
      <c r="O135" s="12"/>
      <c r="P135" s="720">
        <v>4.0</v>
      </c>
    </row>
    <row r="136">
      <c r="A136" s="637"/>
      <c r="B136" s="742" t="s">
        <v>902</v>
      </c>
      <c r="C136" s="722">
        <v>0.0</v>
      </c>
      <c r="D136" s="725"/>
      <c r="E136" s="596"/>
      <c r="F136" s="769" t="s">
        <v>902</v>
      </c>
      <c r="G136" s="12"/>
      <c r="H136" s="722">
        <v>6.0</v>
      </c>
      <c r="I136" s="755"/>
      <c r="J136" s="637"/>
      <c r="K136" s="742" t="s">
        <v>903</v>
      </c>
      <c r="L136" s="723">
        <v>0.0</v>
      </c>
      <c r="M136" s="637"/>
      <c r="N136" s="742" t="s">
        <v>902</v>
      </c>
      <c r="O136" s="742"/>
      <c r="P136" s="723">
        <v>3.0</v>
      </c>
    </row>
    <row r="137">
      <c r="A137" s="637"/>
      <c r="B137" s="735" t="s">
        <v>904</v>
      </c>
      <c r="C137" s="717">
        <v>0.0</v>
      </c>
      <c r="D137" s="725"/>
      <c r="E137" s="596"/>
      <c r="F137" s="777" t="s">
        <v>905</v>
      </c>
      <c r="G137" s="12"/>
      <c r="H137" s="778">
        <v>0.0</v>
      </c>
      <c r="I137" s="755"/>
      <c r="J137" s="637"/>
      <c r="K137" s="735" t="s">
        <v>905</v>
      </c>
      <c r="L137" s="720">
        <v>0.0</v>
      </c>
      <c r="M137" s="637"/>
      <c r="N137" s="772" t="s">
        <v>905</v>
      </c>
      <c r="O137" s="12"/>
      <c r="P137" s="720">
        <v>0.0</v>
      </c>
    </row>
    <row r="138">
      <c r="A138" s="516"/>
      <c r="B138" s="742" t="s">
        <v>906</v>
      </c>
      <c r="C138" s="722">
        <v>0.0</v>
      </c>
      <c r="D138" s="725"/>
      <c r="E138" s="561"/>
      <c r="F138" s="769" t="s">
        <v>907</v>
      </c>
      <c r="G138" s="12"/>
      <c r="H138" s="722">
        <v>14.0</v>
      </c>
      <c r="I138" s="755"/>
      <c r="J138" s="516"/>
      <c r="K138" s="742" t="s">
        <v>906</v>
      </c>
      <c r="L138" s="723">
        <v>0.0</v>
      </c>
      <c r="M138" s="516"/>
      <c r="N138" s="769" t="s">
        <v>907</v>
      </c>
      <c r="O138" s="12"/>
      <c r="P138" s="723">
        <v>2.0</v>
      </c>
    </row>
    <row r="139">
      <c r="A139" s="715" t="s">
        <v>908</v>
      </c>
      <c r="B139" s="742" t="s">
        <v>751</v>
      </c>
      <c r="C139" s="768">
        <v>2.0</v>
      </c>
      <c r="D139" s="718"/>
      <c r="E139" s="779" t="s">
        <v>909</v>
      </c>
      <c r="F139" s="777" t="s">
        <v>887</v>
      </c>
      <c r="G139" s="12"/>
      <c r="H139" s="780">
        <v>16.0</v>
      </c>
      <c r="I139" s="755"/>
      <c r="J139" s="781" t="s">
        <v>908</v>
      </c>
      <c r="K139" s="742" t="s">
        <v>751</v>
      </c>
      <c r="L139" s="771">
        <v>0.0</v>
      </c>
      <c r="M139" s="238"/>
    </row>
    <row r="140">
      <c r="A140" s="637"/>
      <c r="B140" s="735" t="s">
        <v>910</v>
      </c>
      <c r="C140" s="717">
        <v>4.0</v>
      </c>
      <c r="D140" s="718"/>
      <c r="E140" s="238"/>
      <c r="J140" s="596"/>
      <c r="K140" s="735" t="s">
        <v>911</v>
      </c>
      <c r="L140" s="720">
        <v>0.0</v>
      </c>
      <c r="M140" s="238"/>
    </row>
    <row r="141">
      <c r="A141" s="637"/>
      <c r="B141" s="742" t="s">
        <v>739</v>
      </c>
      <c r="C141" s="722">
        <v>6.0</v>
      </c>
      <c r="D141" s="718"/>
      <c r="J141" s="596"/>
      <c r="K141" s="742" t="s">
        <v>739</v>
      </c>
      <c r="L141" s="723">
        <v>0.0</v>
      </c>
    </row>
    <row r="142">
      <c r="A142" s="637"/>
      <c r="B142" s="735" t="s">
        <v>912</v>
      </c>
      <c r="C142" s="717">
        <v>4.0</v>
      </c>
      <c r="D142" s="718"/>
      <c r="J142" s="596"/>
      <c r="K142" s="735" t="s">
        <v>912</v>
      </c>
      <c r="L142" s="720">
        <v>0.0</v>
      </c>
    </row>
    <row r="143">
      <c r="A143" s="637"/>
      <c r="B143" s="742" t="s">
        <v>887</v>
      </c>
      <c r="C143" s="722">
        <v>4.0</v>
      </c>
      <c r="D143" s="718"/>
      <c r="J143" s="596"/>
      <c r="K143" s="742" t="s">
        <v>887</v>
      </c>
      <c r="L143" s="723">
        <v>0.0</v>
      </c>
    </row>
    <row r="144">
      <c r="A144" s="516"/>
      <c r="B144" s="735" t="s">
        <v>891</v>
      </c>
      <c r="C144" s="717">
        <v>2.0</v>
      </c>
      <c r="D144" s="718"/>
      <c r="J144" s="561"/>
      <c r="K144" s="735" t="s">
        <v>891</v>
      </c>
      <c r="L144" s="720">
        <v>0.0</v>
      </c>
    </row>
    <row r="145">
      <c r="A145" s="782" t="s">
        <v>494</v>
      </c>
      <c r="B145" s="752" t="s">
        <v>913</v>
      </c>
      <c r="C145" s="768">
        <v>1.0</v>
      </c>
      <c r="D145" s="755"/>
      <c r="J145" s="783" t="s">
        <v>494</v>
      </c>
      <c r="K145" s="742"/>
      <c r="L145" s="771"/>
    </row>
    <row r="146">
      <c r="A146" s="596"/>
      <c r="B146" s="752" t="s">
        <v>914</v>
      </c>
      <c r="C146" s="768">
        <v>1.0</v>
      </c>
      <c r="D146" s="755"/>
      <c r="J146" s="637"/>
      <c r="K146" s="742"/>
      <c r="L146" s="771"/>
    </row>
    <row r="147">
      <c r="A147" s="596"/>
      <c r="B147" s="752" t="s">
        <v>915</v>
      </c>
      <c r="C147" s="768">
        <v>1.0</v>
      </c>
      <c r="D147" s="755"/>
      <c r="J147" s="637"/>
      <c r="K147" s="742"/>
      <c r="L147" s="771"/>
    </row>
    <row r="148">
      <c r="A148" s="596"/>
      <c r="B148" s="752" t="s">
        <v>916</v>
      </c>
      <c r="C148" s="768">
        <v>1.0</v>
      </c>
      <c r="D148" s="755"/>
      <c r="J148" s="637"/>
      <c r="K148" s="742"/>
      <c r="L148" s="771"/>
    </row>
    <row r="149">
      <c r="A149" s="596"/>
      <c r="B149" s="752" t="s">
        <v>878</v>
      </c>
      <c r="C149" s="768">
        <v>0.0</v>
      </c>
      <c r="D149" s="755"/>
      <c r="J149" s="637"/>
      <c r="K149" s="742" t="s">
        <v>878</v>
      </c>
      <c r="L149" s="771">
        <v>0.0</v>
      </c>
    </row>
    <row r="150">
      <c r="A150" s="596"/>
      <c r="B150" s="753" t="s">
        <v>736</v>
      </c>
      <c r="C150" s="717">
        <v>0.0</v>
      </c>
      <c r="D150" s="725"/>
      <c r="J150" s="637"/>
      <c r="K150" s="735" t="s">
        <v>736</v>
      </c>
      <c r="L150" s="720">
        <v>0.0</v>
      </c>
    </row>
    <row r="151">
      <c r="A151" s="596"/>
      <c r="B151" s="752" t="s">
        <v>917</v>
      </c>
      <c r="C151" s="722">
        <v>2.0</v>
      </c>
      <c r="D151" s="725"/>
      <c r="J151" s="637"/>
      <c r="K151" s="742" t="s">
        <v>917</v>
      </c>
      <c r="L151" s="723">
        <v>0.0</v>
      </c>
    </row>
    <row r="152">
      <c r="A152" s="596"/>
      <c r="B152" s="753" t="s">
        <v>918</v>
      </c>
      <c r="C152" s="717">
        <v>0.0</v>
      </c>
      <c r="D152" s="725"/>
      <c r="J152" s="637"/>
      <c r="K152" s="735" t="s">
        <v>918</v>
      </c>
      <c r="L152" s="720">
        <v>0.0</v>
      </c>
    </row>
    <row r="153">
      <c r="A153" s="596"/>
      <c r="B153" s="752" t="s">
        <v>919</v>
      </c>
      <c r="C153" s="722">
        <v>1.0</v>
      </c>
      <c r="D153" s="725"/>
      <c r="J153" s="637"/>
      <c r="K153" s="742" t="s">
        <v>885</v>
      </c>
      <c r="L153" s="723">
        <v>0.0</v>
      </c>
    </row>
    <row r="154">
      <c r="A154" s="596"/>
      <c r="B154" s="752" t="s">
        <v>887</v>
      </c>
      <c r="C154" s="722">
        <v>1.0</v>
      </c>
      <c r="D154" s="725"/>
      <c r="J154" s="637"/>
      <c r="K154" s="742"/>
      <c r="L154" s="723"/>
    </row>
    <row r="155">
      <c r="A155" s="596"/>
      <c r="B155" s="753" t="s">
        <v>744</v>
      </c>
      <c r="C155" s="717">
        <v>0.0</v>
      </c>
      <c r="D155" s="725"/>
      <c r="J155" s="637"/>
      <c r="K155" s="735" t="s">
        <v>890</v>
      </c>
      <c r="L155" s="720">
        <v>0.0</v>
      </c>
    </row>
    <row r="156">
      <c r="A156" s="596"/>
      <c r="B156" s="753" t="s">
        <v>897</v>
      </c>
      <c r="C156" s="717">
        <v>1.0</v>
      </c>
      <c r="D156" s="725"/>
      <c r="J156" s="637"/>
      <c r="K156" s="735"/>
      <c r="L156" s="720"/>
    </row>
    <row r="157">
      <c r="A157" s="596"/>
      <c r="B157" s="752" t="s">
        <v>899</v>
      </c>
      <c r="C157" s="768">
        <v>1.0</v>
      </c>
      <c r="D157" s="755"/>
      <c r="J157" s="637"/>
      <c r="K157" s="742" t="s">
        <v>899</v>
      </c>
      <c r="L157" s="771">
        <v>0.0</v>
      </c>
    </row>
    <row r="158">
      <c r="A158" s="596"/>
      <c r="B158" s="752" t="s">
        <v>920</v>
      </c>
      <c r="C158" s="768">
        <v>1.0</v>
      </c>
      <c r="D158" s="755"/>
      <c r="J158" s="637"/>
      <c r="K158" s="742"/>
      <c r="L158" s="771"/>
    </row>
    <row r="159">
      <c r="A159" s="561"/>
      <c r="B159" s="742" t="s">
        <v>921</v>
      </c>
      <c r="C159" s="768">
        <v>1.0</v>
      </c>
      <c r="D159" s="755"/>
      <c r="J159" s="516"/>
      <c r="K159" s="742"/>
      <c r="L159" s="771"/>
    </row>
    <row r="160">
      <c r="A160" s="715" t="s">
        <v>922</v>
      </c>
      <c r="B160" s="735" t="s">
        <v>751</v>
      </c>
      <c r="C160" s="754">
        <v>1.0</v>
      </c>
      <c r="D160" s="755"/>
      <c r="J160" s="719" t="s">
        <v>923</v>
      </c>
      <c r="K160" s="735" t="s">
        <v>924</v>
      </c>
      <c r="L160" s="760">
        <v>0.0</v>
      </c>
    </row>
    <row r="161">
      <c r="A161" s="637"/>
      <c r="B161" s="735" t="s">
        <v>752</v>
      </c>
      <c r="C161" s="722">
        <v>1.0</v>
      </c>
      <c r="D161" s="725"/>
      <c r="J161" s="637"/>
      <c r="K161" s="784"/>
      <c r="L161" s="785">
        <v>0.0</v>
      </c>
    </row>
    <row r="162">
      <c r="A162" s="637"/>
      <c r="B162" s="735" t="s">
        <v>739</v>
      </c>
      <c r="C162" s="717">
        <v>1.0</v>
      </c>
      <c r="D162" s="725"/>
      <c r="J162" s="637"/>
      <c r="K162" s="786"/>
      <c r="L162" s="787"/>
    </row>
    <row r="163">
      <c r="A163" s="637"/>
      <c r="B163" s="735" t="s">
        <v>885</v>
      </c>
      <c r="C163" s="717">
        <v>1.0</v>
      </c>
      <c r="D163" s="725"/>
      <c r="J163" s="637"/>
      <c r="K163" s="786"/>
      <c r="L163" s="787"/>
    </row>
    <row r="164">
      <c r="A164" s="637"/>
      <c r="B164" s="742" t="s">
        <v>893</v>
      </c>
      <c r="C164" s="722">
        <v>1.0</v>
      </c>
      <c r="D164" s="718"/>
      <c r="J164" s="637"/>
      <c r="K164" s="788"/>
      <c r="L164" s="789"/>
    </row>
    <row r="165">
      <c r="A165" s="516"/>
      <c r="B165" s="742" t="s">
        <v>907</v>
      </c>
      <c r="C165" s="717">
        <v>0.0</v>
      </c>
      <c r="D165" s="725"/>
      <c r="J165" s="516"/>
      <c r="K165" s="786"/>
      <c r="L165" s="787"/>
    </row>
    <row r="166">
      <c r="A166" s="734" t="s">
        <v>925</v>
      </c>
      <c r="B166" s="742" t="s">
        <v>528</v>
      </c>
      <c r="C166" s="768">
        <v>1.0</v>
      </c>
      <c r="D166" s="755"/>
      <c r="J166" s="790"/>
      <c r="K166" s="742"/>
      <c r="L166" s="771"/>
    </row>
    <row r="167">
      <c r="A167" s="637"/>
      <c r="B167" s="742" t="s">
        <v>926</v>
      </c>
      <c r="C167" s="768">
        <v>1.0</v>
      </c>
      <c r="D167" s="755"/>
      <c r="J167" s="736" t="s">
        <v>925</v>
      </c>
      <c r="K167" s="742" t="s">
        <v>752</v>
      </c>
      <c r="L167" s="771">
        <v>0.0</v>
      </c>
    </row>
    <row r="168">
      <c r="A168" s="637"/>
      <c r="B168" s="742" t="s">
        <v>927</v>
      </c>
      <c r="C168" s="717">
        <v>1.0</v>
      </c>
      <c r="D168" s="725"/>
      <c r="J168" s="637"/>
      <c r="K168" s="735" t="s">
        <v>753</v>
      </c>
      <c r="L168" s="720">
        <v>0.0</v>
      </c>
    </row>
    <row r="169">
      <c r="A169" s="637"/>
      <c r="B169" s="742" t="s">
        <v>752</v>
      </c>
      <c r="C169" s="722">
        <v>1.0</v>
      </c>
      <c r="D169" s="725"/>
      <c r="J169" s="637"/>
      <c r="K169" s="742" t="s">
        <v>928</v>
      </c>
      <c r="L169" s="723">
        <v>0.0</v>
      </c>
    </row>
    <row r="170">
      <c r="A170" s="637"/>
      <c r="B170" s="742" t="s">
        <v>885</v>
      </c>
      <c r="C170" s="722">
        <v>1.0</v>
      </c>
      <c r="D170" s="725"/>
      <c r="J170" s="637"/>
      <c r="K170" s="742"/>
      <c r="L170" s="723"/>
    </row>
    <row r="171">
      <c r="A171" s="637"/>
      <c r="B171" s="742" t="s">
        <v>891</v>
      </c>
      <c r="C171" s="717">
        <v>1.0</v>
      </c>
      <c r="D171" s="725"/>
      <c r="J171" s="637"/>
      <c r="K171" s="786"/>
      <c r="L171" s="787"/>
    </row>
    <row r="172">
      <c r="A172" s="637"/>
      <c r="B172" s="743" t="s">
        <v>746</v>
      </c>
      <c r="C172" s="722">
        <v>1.0</v>
      </c>
      <c r="D172" s="725"/>
      <c r="J172" s="637"/>
      <c r="K172" s="788"/>
      <c r="L172" s="789"/>
    </row>
    <row r="173">
      <c r="A173" s="516"/>
      <c r="B173" s="743" t="s">
        <v>907</v>
      </c>
      <c r="C173" s="717">
        <v>1.0</v>
      </c>
      <c r="D173" s="725"/>
      <c r="J173" s="516"/>
      <c r="K173" s="786"/>
      <c r="L173" s="787"/>
      <c r="N173" s="58" t="s">
        <v>929</v>
      </c>
    </row>
    <row r="174">
      <c r="A174" s="715" t="s">
        <v>930</v>
      </c>
      <c r="B174" s="742" t="s">
        <v>739</v>
      </c>
      <c r="C174" s="722">
        <v>8.0</v>
      </c>
      <c r="D174" s="718"/>
      <c r="J174" s="719" t="s">
        <v>930</v>
      </c>
      <c r="K174" s="742" t="s">
        <v>739</v>
      </c>
      <c r="L174" s="723">
        <v>0.0</v>
      </c>
    </row>
    <row r="175">
      <c r="A175" s="637"/>
      <c r="B175" s="735" t="s">
        <v>754</v>
      </c>
      <c r="C175" s="717">
        <v>6.0</v>
      </c>
      <c r="D175" s="718"/>
      <c r="J175" s="637"/>
      <c r="K175" s="735" t="s">
        <v>754</v>
      </c>
      <c r="L175" s="720">
        <v>16.0</v>
      </c>
    </row>
    <row r="176">
      <c r="A176" s="637"/>
      <c r="B176" s="742" t="s">
        <v>931</v>
      </c>
      <c r="C176" s="722">
        <v>25.0</v>
      </c>
      <c r="D176" s="718"/>
      <c r="J176" s="637"/>
      <c r="K176" s="742" t="s">
        <v>931</v>
      </c>
      <c r="L176" s="723">
        <v>0.0</v>
      </c>
    </row>
    <row r="177">
      <c r="A177" s="637"/>
      <c r="B177" s="735" t="s">
        <v>891</v>
      </c>
      <c r="C177" s="717">
        <v>14.0</v>
      </c>
      <c r="D177" s="718"/>
      <c r="J177" s="637"/>
      <c r="K177" s="735" t="s">
        <v>891</v>
      </c>
      <c r="L177" s="720">
        <v>0.0</v>
      </c>
      <c r="N177" s="58" t="s">
        <v>523</v>
      </c>
    </row>
    <row r="178">
      <c r="A178" s="637"/>
      <c r="B178" s="742" t="s">
        <v>932</v>
      </c>
      <c r="C178" s="722">
        <v>8.0</v>
      </c>
      <c r="D178" s="718"/>
      <c r="J178" s="637"/>
      <c r="K178" s="742" t="s">
        <v>932</v>
      </c>
      <c r="L178" s="723">
        <v>7.0</v>
      </c>
    </row>
    <row r="179">
      <c r="A179" s="637"/>
      <c r="B179" s="735" t="s">
        <v>933</v>
      </c>
      <c r="C179" s="717">
        <v>18.0</v>
      </c>
      <c r="D179" s="718"/>
      <c r="J179" s="637"/>
      <c r="K179" s="735" t="s">
        <v>933</v>
      </c>
      <c r="L179" s="720">
        <v>0.0</v>
      </c>
    </row>
    <row r="180">
      <c r="A180" s="637"/>
      <c r="B180" s="742" t="s">
        <v>934</v>
      </c>
      <c r="C180" s="722">
        <v>15.0</v>
      </c>
      <c r="D180" s="718"/>
      <c r="J180" s="637"/>
      <c r="K180" s="742" t="s">
        <v>934</v>
      </c>
      <c r="L180" s="723">
        <v>8.0</v>
      </c>
    </row>
    <row r="181">
      <c r="A181" s="516"/>
      <c r="B181" s="735" t="s">
        <v>935</v>
      </c>
      <c r="C181" s="717">
        <v>10.0</v>
      </c>
      <c r="D181" s="718"/>
      <c r="J181" s="516"/>
      <c r="K181" s="735" t="s">
        <v>935</v>
      </c>
      <c r="L181" s="720">
        <v>1.0</v>
      </c>
    </row>
    <row r="182">
      <c r="A182" s="715" t="s">
        <v>936</v>
      </c>
      <c r="B182" s="735" t="s">
        <v>931</v>
      </c>
      <c r="C182" s="717">
        <v>2.0</v>
      </c>
      <c r="D182" s="718"/>
      <c r="J182" s="736" t="s">
        <v>936</v>
      </c>
      <c r="K182" s="735" t="s">
        <v>931</v>
      </c>
      <c r="L182" s="720">
        <v>0.0</v>
      </c>
    </row>
    <row r="183">
      <c r="A183" s="516"/>
      <c r="B183" s="742" t="s">
        <v>891</v>
      </c>
      <c r="C183" s="722">
        <v>1.0</v>
      </c>
      <c r="D183" s="718"/>
      <c r="E183" s="238"/>
      <c r="J183" s="516"/>
      <c r="K183" s="742" t="s">
        <v>891</v>
      </c>
      <c r="L183" s="723">
        <v>0.0</v>
      </c>
    </row>
    <row r="184">
      <c r="A184" s="715" t="s">
        <v>937</v>
      </c>
      <c r="B184" s="735" t="s">
        <v>938</v>
      </c>
      <c r="C184" s="717">
        <v>1.0</v>
      </c>
      <c r="D184" s="725"/>
      <c r="J184" s="733"/>
      <c r="K184" s="735"/>
      <c r="L184" s="720"/>
    </row>
    <row r="185">
      <c r="A185" s="637"/>
      <c r="B185" s="735" t="s">
        <v>939</v>
      </c>
      <c r="C185" s="717">
        <v>3.0</v>
      </c>
      <c r="D185" s="725"/>
      <c r="J185" s="733"/>
      <c r="K185" s="735"/>
      <c r="L185" s="720"/>
    </row>
    <row r="186">
      <c r="A186" s="637"/>
      <c r="B186" s="735" t="s">
        <v>940</v>
      </c>
      <c r="C186" s="717">
        <v>2.0</v>
      </c>
      <c r="D186" s="725"/>
      <c r="J186" s="719" t="s">
        <v>937</v>
      </c>
      <c r="K186" s="735" t="s">
        <v>939</v>
      </c>
      <c r="L186" s="720">
        <v>0.0</v>
      </c>
    </row>
    <row r="187">
      <c r="A187" s="637"/>
      <c r="B187" s="735" t="s">
        <v>751</v>
      </c>
      <c r="C187" s="717">
        <v>1.0</v>
      </c>
      <c r="D187" s="725"/>
      <c r="J187" s="637"/>
      <c r="K187" s="735"/>
      <c r="L187" s="720"/>
    </row>
    <row r="188">
      <c r="A188" s="637"/>
      <c r="B188" s="735" t="s">
        <v>880</v>
      </c>
      <c r="C188" s="717">
        <v>1.0</v>
      </c>
      <c r="D188" s="725"/>
      <c r="F188" s="791"/>
      <c r="J188" s="516"/>
      <c r="K188" s="735" t="s">
        <v>739</v>
      </c>
      <c r="L188" s="720">
        <v>0.0</v>
      </c>
    </row>
    <row r="189">
      <c r="A189" s="637"/>
      <c r="B189" s="735" t="s">
        <v>885</v>
      </c>
      <c r="C189" s="717">
        <v>1.0</v>
      </c>
      <c r="D189" s="725"/>
      <c r="F189" s="791"/>
      <c r="J189" s="733"/>
      <c r="K189" s="735"/>
      <c r="L189" s="720"/>
    </row>
    <row r="190">
      <c r="A190" s="516"/>
      <c r="B190" s="735" t="s">
        <v>941</v>
      </c>
      <c r="C190" s="717">
        <v>1.0</v>
      </c>
      <c r="D190" s="725"/>
      <c r="F190" s="791"/>
      <c r="J190" s="733"/>
      <c r="K190" s="735"/>
      <c r="L190" s="720"/>
    </row>
    <row r="191">
      <c r="A191" s="715" t="s">
        <v>942</v>
      </c>
      <c r="B191" s="735" t="s">
        <v>739</v>
      </c>
      <c r="C191" s="717">
        <v>1.0</v>
      </c>
      <c r="D191" s="725"/>
      <c r="J191" s="792"/>
      <c r="K191" s="793"/>
      <c r="L191" s="794"/>
    </row>
    <row r="192">
      <c r="A192" s="637"/>
      <c r="B192" s="753" t="s">
        <v>938</v>
      </c>
      <c r="C192" s="717">
        <v>2.0</v>
      </c>
      <c r="D192" s="725"/>
      <c r="J192" s="792"/>
      <c r="K192" s="793"/>
      <c r="L192" s="794"/>
    </row>
    <row r="193">
      <c r="A193" s="637"/>
      <c r="B193" s="753" t="s">
        <v>730</v>
      </c>
      <c r="C193" s="717">
        <v>0.0</v>
      </c>
      <c r="D193" s="725"/>
      <c r="J193" s="792"/>
      <c r="K193" s="793"/>
      <c r="L193" s="794"/>
    </row>
    <row r="194">
      <c r="A194" s="637"/>
      <c r="B194" s="753" t="s">
        <v>940</v>
      </c>
      <c r="C194" s="717">
        <v>1.0</v>
      </c>
      <c r="D194" s="725"/>
      <c r="J194" s="792"/>
      <c r="K194" s="793"/>
      <c r="L194" s="794"/>
    </row>
    <row r="195">
      <c r="A195" s="637"/>
      <c r="B195" s="753" t="s">
        <v>751</v>
      </c>
      <c r="C195" s="717">
        <v>1.0</v>
      </c>
      <c r="D195" s="718" t="s">
        <v>943</v>
      </c>
      <c r="J195" s="792"/>
      <c r="K195" s="793"/>
      <c r="L195" s="794"/>
    </row>
    <row r="196">
      <c r="A196" s="637"/>
      <c r="B196" s="753" t="s">
        <v>880</v>
      </c>
      <c r="C196" s="717">
        <v>2.0</v>
      </c>
      <c r="D196" s="718" t="s">
        <v>944</v>
      </c>
      <c r="E196" s="795"/>
      <c r="J196" s="792"/>
      <c r="K196" s="793"/>
      <c r="L196" s="794"/>
    </row>
    <row r="197">
      <c r="A197" s="637"/>
      <c r="B197" s="753" t="s">
        <v>739</v>
      </c>
      <c r="C197" s="717">
        <v>1.0</v>
      </c>
      <c r="D197" s="718" t="s">
        <v>943</v>
      </c>
      <c r="J197" s="792"/>
      <c r="K197" s="793"/>
      <c r="L197" s="794"/>
    </row>
    <row r="198">
      <c r="A198" s="637"/>
      <c r="B198" s="753" t="s">
        <v>885</v>
      </c>
      <c r="C198" s="717">
        <v>1.0</v>
      </c>
      <c r="D198" s="718" t="s">
        <v>943</v>
      </c>
      <c r="J198" s="792"/>
      <c r="K198" s="793"/>
      <c r="L198" s="794"/>
    </row>
    <row r="199">
      <c r="A199" s="637"/>
      <c r="B199" s="753" t="s">
        <v>945</v>
      </c>
      <c r="C199" s="717">
        <v>1.0</v>
      </c>
      <c r="D199" s="718" t="s">
        <v>943</v>
      </c>
      <c r="J199" s="796" t="s">
        <v>942</v>
      </c>
      <c r="K199" s="793" t="s">
        <v>946</v>
      </c>
      <c r="L199" s="794">
        <v>0.0</v>
      </c>
    </row>
    <row r="200">
      <c r="A200" s="637"/>
      <c r="B200" s="753" t="s">
        <v>946</v>
      </c>
      <c r="C200" s="722">
        <v>0.0</v>
      </c>
      <c r="D200" s="725"/>
      <c r="J200" s="516"/>
      <c r="K200" s="797" t="s">
        <v>744</v>
      </c>
      <c r="L200" s="798">
        <v>0.0</v>
      </c>
    </row>
    <row r="201">
      <c r="A201" s="637"/>
      <c r="B201" s="752" t="s">
        <v>744</v>
      </c>
      <c r="C201" s="722">
        <v>1.0</v>
      </c>
      <c r="D201" s="718" t="s">
        <v>943</v>
      </c>
    </row>
    <row r="202">
      <c r="A202" s="637"/>
      <c r="B202" s="752" t="s">
        <v>897</v>
      </c>
      <c r="C202" s="722">
        <v>1.0</v>
      </c>
      <c r="D202" s="725"/>
      <c r="E202" s="58"/>
    </row>
    <row r="203">
      <c r="A203" s="516"/>
      <c r="B203" s="752" t="s">
        <v>746</v>
      </c>
      <c r="C203" s="722">
        <v>1.0</v>
      </c>
      <c r="D203" s="718" t="s">
        <v>943</v>
      </c>
      <c r="E203" s="799"/>
    </row>
    <row r="204">
      <c r="A204" s="800" t="s">
        <v>947</v>
      </c>
      <c r="B204" s="752" t="s">
        <v>885</v>
      </c>
      <c r="C204" s="722">
        <v>1.0</v>
      </c>
      <c r="D204" s="725"/>
    </row>
    <row r="205">
      <c r="A205" s="637"/>
      <c r="B205" s="742" t="s">
        <v>887</v>
      </c>
      <c r="C205" s="717">
        <v>1.0</v>
      </c>
      <c r="D205" s="725"/>
    </row>
    <row r="206">
      <c r="A206" s="637"/>
      <c r="B206" s="735" t="s">
        <v>891</v>
      </c>
      <c r="C206" s="722">
        <v>1.0</v>
      </c>
      <c r="D206" s="801" t="s">
        <v>948</v>
      </c>
    </row>
    <row r="207">
      <c r="A207" s="637"/>
      <c r="B207" s="742" t="s">
        <v>745</v>
      </c>
      <c r="C207" s="717">
        <v>0.0</v>
      </c>
      <c r="D207" s="725"/>
    </row>
    <row r="208">
      <c r="A208" s="637"/>
      <c r="B208" s="735" t="s">
        <v>896</v>
      </c>
      <c r="C208" s="722">
        <v>1.0</v>
      </c>
      <c r="D208" s="725"/>
    </row>
    <row r="209">
      <c r="A209" s="637"/>
      <c r="B209" s="742" t="s">
        <v>900</v>
      </c>
      <c r="C209" s="717">
        <v>0.0</v>
      </c>
      <c r="D209" s="725"/>
    </row>
    <row r="210">
      <c r="A210" s="637"/>
      <c r="B210" s="742" t="s">
        <v>949</v>
      </c>
      <c r="C210" s="722">
        <v>0.0</v>
      </c>
      <c r="D210" s="725"/>
    </row>
    <row r="211">
      <c r="A211" s="516"/>
      <c r="B211" s="735" t="s">
        <v>950</v>
      </c>
      <c r="C211" s="717">
        <v>1.0</v>
      </c>
      <c r="D211" s="725"/>
    </row>
    <row r="212">
      <c r="A212" s="800" t="s">
        <v>951</v>
      </c>
      <c r="B212" s="735" t="s">
        <v>952</v>
      </c>
      <c r="C212" s="722">
        <v>1.0</v>
      </c>
      <c r="D212" s="725"/>
    </row>
    <row r="213">
      <c r="A213" s="637"/>
      <c r="B213" s="735" t="s">
        <v>751</v>
      </c>
      <c r="C213" s="722">
        <v>1.0</v>
      </c>
      <c r="D213" s="725"/>
    </row>
    <row r="214">
      <c r="A214" s="637"/>
      <c r="B214" s="735" t="s">
        <v>938</v>
      </c>
      <c r="C214" s="722">
        <v>1.0</v>
      </c>
      <c r="D214" s="725"/>
    </row>
    <row r="215">
      <c r="A215" s="637"/>
      <c r="B215" s="742" t="s">
        <v>752</v>
      </c>
      <c r="C215" s="717">
        <v>1.0</v>
      </c>
      <c r="D215" s="725"/>
    </row>
    <row r="216">
      <c r="A216" s="637"/>
      <c r="B216" s="735" t="s">
        <v>739</v>
      </c>
      <c r="C216" s="722">
        <v>1.0</v>
      </c>
      <c r="D216" s="725"/>
    </row>
    <row r="217">
      <c r="A217" s="637"/>
      <c r="B217" s="735" t="s">
        <v>885</v>
      </c>
      <c r="C217" s="722">
        <v>1.0</v>
      </c>
      <c r="D217" s="725"/>
    </row>
    <row r="218">
      <c r="A218" s="637"/>
      <c r="B218" s="742" t="s">
        <v>887</v>
      </c>
      <c r="C218" s="717">
        <v>1.0</v>
      </c>
      <c r="D218" s="725"/>
    </row>
    <row r="219">
      <c r="A219" s="637"/>
      <c r="B219" s="735" t="s">
        <v>891</v>
      </c>
      <c r="C219" s="722">
        <v>1.0</v>
      </c>
      <c r="D219" s="725"/>
    </row>
    <row r="220">
      <c r="A220" s="637"/>
      <c r="B220" s="742" t="s">
        <v>897</v>
      </c>
      <c r="C220" s="717">
        <v>1.0</v>
      </c>
      <c r="D220" s="725"/>
    </row>
    <row r="221">
      <c r="A221" s="637"/>
      <c r="B221" s="742" t="s">
        <v>746</v>
      </c>
      <c r="C221" s="717">
        <v>1.0</v>
      </c>
      <c r="D221" s="725"/>
    </row>
    <row r="222">
      <c r="A222" s="516"/>
      <c r="B222" s="735" t="s">
        <v>907</v>
      </c>
      <c r="C222" s="717"/>
      <c r="D222" s="725"/>
    </row>
    <row r="223">
      <c r="A223" s="800" t="s">
        <v>953</v>
      </c>
      <c r="B223" s="735"/>
      <c r="C223" s="722">
        <v>2.0</v>
      </c>
      <c r="D223" s="725"/>
    </row>
    <row r="224">
      <c r="A224" s="637"/>
      <c r="B224" s="742" t="s">
        <v>739</v>
      </c>
      <c r="C224" s="722">
        <v>1.0</v>
      </c>
      <c r="D224" s="725"/>
    </row>
    <row r="225">
      <c r="A225" s="637"/>
      <c r="B225" s="742" t="s">
        <v>885</v>
      </c>
      <c r="C225" s="717">
        <v>2.0</v>
      </c>
      <c r="D225" s="725"/>
    </row>
    <row r="226">
      <c r="A226" s="637"/>
      <c r="B226" s="735" t="s">
        <v>887</v>
      </c>
      <c r="C226" s="722">
        <v>2.0</v>
      </c>
      <c r="D226" s="725"/>
    </row>
    <row r="227">
      <c r="A227" s="637"/>
      <c r="B227" s="742" t="s">
        <v>891</v>
      </c>
      <c r="C227" s="717">
        <v>0.0</v>
      </c>
      <c r="D227" s="725"/>
    </row>
    <row r="228">
      <c r="A228" s="637"/>
      <c r="B228" s="735" t="s">
        <v>954</v>
      </c>
      <c r="C228" s="722">
        <v>1.0</v>
      </c>
      <c r="D228" s="725"/>
    </row>
    <row r="229">
      <c r="A229" s="637"/>
      <c r="B229" s="742" t="s">
        <v>897</v>
      </c>
      <c r="C229" s="722">
        <v>2.0</v>
      </c>
      <c r="D229" s="725"/>
    </row>
    <row r="230">
      <c r="A230" s="637"/>
      <c r="B230" s="742" t="s">
        <v>899</v>
      </c>
      <c r="C230" s="717">
        <v>2.0</v>
      </c>
      <c r="D230" s="725"/>
    </row>
    <row r="231">
      <c r="A231" s="637"/>
      <c r="B231" s="735" t="s">
        <v>746</v>
      </c>
      <c r="C231" s="722">
        <v>3.0</v>
      </c>
      <c r="D231" s="725"/>
    </row>
    <row r="232">
      <c r="A232" s="516"/>
      <c r="B232" s="742" t="s">
        <v>907</v>
      </c>
      <c r="C232" s="717"/>
      <c r="D232" s="725"/>
    </row>
    <row r="233">
      <c r="A233" s="800" t="s">
        <v>955</v>
      </c>
      <c r="B233" s="735"/>
      <c r="C233" s="722">
        <v>1.0</v>
      </c>
      <c r="D233" s="725"/>
    </row>
    <row r="234">
      <c r="A234" s="637"/>
      <c r="B234" s="742" t="s">
        <v>945</v>
      </c>
      <c r="C234" s="717">
        <v>1.0</v>
      </c>
      <c r="D234" s="725"/>
    </row>
    <row r="235">
      <c r="A235" s="516"/>
      <c r="B235" s="735" t="s">
        <v>891</v>
      </c>
      <c r="C235" s="722">
        <v>0.0</v>
      </c>
      <c r="D235" s="725"/>
    </row>
    <row r="236">
      <c r="A236" s="800" t="s">
        <v>956</v>
      </c>
      <c r="B236" s="742" t="s">
        <v>957</v>
      </c>
      <c r="C236" s="722">
        <v>2.0</v>
      </c>
      <c r="D236" s="801" t="s">
        <v>958</v>
      </c>
    </row>
    <row r="237">
      <c r="A237" s="637"/>
      <c r="B237" s="742" t="s">
        <v>959</v>
      </c>
      <c r="C237" s="722">
        <v>2.0</v>
      </c>
      <c r="D237" s="725"/>
    </row>
    <row r="238">
      <c r="A238" s="637"/>
      <c r="B238" s="742" t="s">
        <v>960</v>
      </c>
      <c r="C238" s="717">
        <v>1.0</v>
      </c>
      <c r="D238" s="725"/>
    </row>
    <row r="239">
      <c r="A239" s="637"/>
      <c r="B239" s="742" t="s">
        <v>751</v>
      </c>
      <c r="C239" s="722">
        <v>1.0</v>
      </c>
      <c r="D239" s="725"/>
    </row>
    <row r="240">
      <c r="A240" s="637"/>
      <c r="B240" s="742" t="s">
        <v>880</v>
      </c>
      <c r="C240" s="717">
        <v>1.0</v>
      </c>
      <c r="D240" s="725"/>
    </row>
    <row r="241">
      <c r="A241" s="637"/>
      <c r="B241" s="735" t="s">
        <v>945</v>
      </c>
      <c r="C241" s="722">
        <v>1.0</v>
      </c>
      <c r="D241" s="725"/>
    </row>
    <row r="242">
      <c r="A242" s="637"/>
      <c r="B242" s="742" t="s">
        <v>897</v>
      </c>
      <c r="C242" s="722">
        <v>1.0</v>
      </c>
      <c r="D242" s="725"/>
    </row>
    <row r="243">
      <c r="A243" s="637"/>
      <c r="B243" s="742" t="s">
        <v>901</v>
      </c>
      <c r="C243" s="722">
        <v>0.0</v>
      </c>
      <c r="D243" s="774"/>
    </row>
    <row r="244">
      <c r="A244" s="637"/>
      <c r="B244" s="735" t="s">
        <v>961</v>
      </c>
      <c r="C244" s="722"/>
      <c r="D244" s="725"/>
    </row>
    <row r="245">
      <c r="A245" s="516"/>
      <c r="B245" s="742" t="s">
        <v>961</v>
      </c>
      <c r="C245" s="717"/>
      <c r="D245" s="725"/>
    </row>
    <row r="246">
      <c r="B246" s="772"/>
      <c r="C246" s="802"/>
      <c r="D246" s="791"/>
    </row>
    <row r="247">
      <c r="D247" s="791"/>
    </row>
    <row r="248">
      <c r="D248" s="791"/>
    </row>
    <row r="249">
      <c r="D249" s="791"/>
    </row>
    <row r="250">
      <c r="D250" s="791"/>
    </row>
    <row r="251">
      <c r="D251" s="791"/>
    </row>
    <row r="252">
      <c r="D252" s="791"/>
    </row>
    <row r="253">
      <c r="D253" s="791"/>
    </row>
    <row r="254">
      <c r="D254" s="791"/>
    </row>
    <row r="255">
      <c r="D255" s="791"/>
    </row>
    <row r="256">
      <c r="D256" s="791"/>
    </row>
    <row r="257">
      <c r="D257" s="791"/>
    </row>
    <row r="258">
      <c r="D258" s="791"/>
    </row>
    <row r="259">
      <c r="D259" s="791"/>
    </row>
    <row r="260">
      <c r="D260" s="791"/>
    </row>
    <row r="261">
      <c r="D261" s="791"/>
    </row>
    <row r="262">
      <c r="D262" s="791"/>
    </row>
    <row r="263">
      <c r="D263" s="791"/>
    </row>
    <row r="264">
      <c r="D264" s="791"/>
    </row>
    <row r="265">
      <c r="D265" s="791"/>
    </row>
    <row r="266">
      <c r="D266" s="791"/>
    </row>
    <row r="267">
      <c r="D267" s="791"/>
    </row>
    <row r="268">
      <c r="D268" s="791"/>
    </row>
    <row r="269">
      <c r="D269" s="791"/>
    </row>
    <row r="270">
      <c r="D270" s="791"/>
    </row>
    <row r="271">
      <c r="D271" s="791"/>
    </row>
    <row r="272">
      <c r="D272" s="791"/>
    </row>
    <row r="273">
      <c r="D273" s="791"/>
    </row>
    <row r="274">
      <c r="D274" s="791"/>
    </row>
    <row r="275">
      <c r="D275" s="791"/>
    </row>
    <row r="276">
      <c r="D276" s="791"/>
    </row>
    <row r="277">
      <c r="D277" s="791"/>
    </row>
    <row r="278">
      <c r="D278" s="791"/>
    </row>
    <row r="279">
      <c r="D279" s="791"/>
    </row>
    <row r="280">
      <c r="D280" s="791"/>
    </row>
    <row r="281">
      <c r="D281" s="791"/>
    </row>
    <row r="282">
      <c r="D282" s="791"/>
    </row>
    <row r="283">
      <c r="D283" s="791"/>
    </row>
    <row r="284">
      <c r="D284" s="791"/>
    </row>
    <row r="285">
      <c r="D285" s="791"/>
    </row>
    <row r="286">
      <c r="D286" s="791"/>
    </row>
    <row r="287">
      <c r="D287" s="791"/>
    </row>
    <row r="288">
      <c r="D288" s="791"/>
    </row>
    <row r="289">
      <c r="D289" s="791"/>
    </row>
    <row r="290">
      <c r="D290" s="791"/>
    </row>
    <row r="291">
      <c r="D291" s="791"/>
    </row>
    <row r="292">
      <c r="D292" s="791"/>
    </row>
    <row r="293">
      <c r="D293" s="791"/>
    </row>
    <row r="294">
      <c r="D294" s="791"/>
    </row>
    <row r="295">
      <c r="D295" s="791"/>
    </row>
    <row r="296">
      <c r="D296" s="791"/>
    </row>
    <row r="297">
      <c r="D297" s="791"/>
    </row>
    <row r="298">
      <c r="D298" s="791"/>
    </row>
    <row r="299">
      <c r="D299" s="791"/>
    </row>
    <row r="300">
      <c r="D300" s="791"/>
    </row>
    <row r="301">
      <c r="D301" s="791"/>
    </row>
    <row r="302">
      <c r="D302" s="791"/>
    </row>
    <row r="303">
      <c r="D303" s="791"/>
    </row>
    <row r="304">
      <c r="D304" s="791"/>
    </row>
    <row r="305">
      <c r="D305" s="791"/>
    </row>
    <row r="306">
      <c r="D306" s="791"/>
    </row>
    <row r="307">
      <c r="D307" s="791"/>
    </row>
    <row r="308">
      <c r="D308" s="791"/>
    </row>
    <row r="309">
      <c r="D309" s="791"/>
    </row>
    <row r="310">
      <c r="D310" s="791"/>
    </row>
    <row r="311">
      <c r="D311" s="791"/>
    </row>
    <row r="312">
      <c r="D312" s="791"/>
    </row>
    <row r="313">
      <c r="D313" s="791"/>
    </row>
    <row r="314">
      <c r="D314" s="791"/>
    </row>
    <row r="315">
      <c r="D315" s="791"/>
    </row>
    <row r="316">
      <c r="D316" s="791"/>
    </row>
    <row r="317">
      <c r="D317" s="791"/>
    </row>
    <row r="318">
      <c r="D318" s="791"/>
    </row>
    <row r="319">
      <c r="D319" s="791"/>
    </row>
    <row r="320">
      <c r="D320" s="791"/>
    </row>
    <row r="321">
      <c r="D321" s="791"/>
    </row>
    <row r="322">
      <c r="D322" s="791"/>
    </row>
    <row r="323">
      <c r="D323" s="791"/>
    </row>
    <row r="324">
      <c r="D324" s="791"/>
    </row>
    <row r="325">
      <c r="D325" s="791"/>
    </row>
    <row r="326">
      <c r="D326" s="791"/>
    </row>
    <row r="327">
      <c r="D327" s="791"/>
    </row>
    <row r="328">
      <c r="D328" s="791"/>
    </row>
    <row r="329">
      <c r="D329" s="791"/>
    </row>
    <row r="330">
      <c r="D330" s="791"/>
    </row>
    <row r="331">
      <c r="D331" s="791"/>
    </row>
    <row r="332">
      <c r="D332" s="791"/>
    </row>
    <row r="333">
      <c r="D333" s="791"/>
    </row>
    <row r="334">
      <c r="D334" s="791"/>
    </row>
    <row r="335">
      <c r="D335" s="791"/>
    </row>
    <row r="336">
      <c r="D336" s="791"/>
    </row>
    <row r="337">
      <c r="D337" s="791"/>
    </row>
    <row r="338">
      <c r="D338" s="791"/>
    </row>
    <row r="339">
      <c r="D339" s="791"/>
    </row>
    <row r="340">
      <c r="D340" s="791"/>
    </row>
    <row r="341">
      <c r="D341" s="791"/>
    </row>
    <row r="342">
      <c r="D342" s="791"/>
    </row>
    <row r="343">
      <c r="D343" s="791"/>
    </row>
    <row r="344">
      <c r="D344" s="791"/>
    </row>
    <row r="345">
      <c r="D345" s="791"/>
    </row>
    <row r="346">
      <c r="D346" s="791"/>
    </row>
    <row r="347">
      <c r="D347" s="791"/>
    </row>
    <row r="348">
      <c r="D348" s="791"/>
    </row>
    <row r="349">
      <c r="D349" s="791"/>
    </row>
    <row r="350">
      <c r="D350" s="791"/>
    </row>
    <row r="351">
      <c r="D351" s="791"/>
    </row>
    <row r="352">
      <c r="D352" s="791"/>
    </row>
    <row r="353">
      <c r="D353" s="791"/>
    </row>
    <row r="354">
      <c r="D354" s="791"/>
    </row>
    <row r="355">
      <c r="D355" s="791"/>
    </row>
    <row r="356">
      <c r="D356" s="791"/>
    </row>
    <row r="357">
      <c r="D357" s="791"/>
    </row>
    <row r="358">
      <c r="D358" s="791"/>
    </row>
    <row r="359">
      <c r="D359" s="791"/>
    </row>
    <row r="360">
      <c r="D360" s="791"/>
    </row>
    <row r="361">
      <c r="D361" s="791"/>
    </row>
    <row r="362">
      <c r="D362" s="791"/>
    </row>
    <row r="363">
      <c r="D363" s="791"/>
    </row>
    <row r="364">
      <c r="D364" s="791"/>
    </row>
    <row r="365">
      <c r="D365" s="791"/>
    </row>
    <row r="366">
      <c r="D366" s="791"/>
    </row>
    <row r="367">
      <c r="D367" s="791"/>
    </row>
    <row r="368">
      <c r="D368" s="791"/>
    </row>
    <row r="369">
      <c r="D369" s="791"/>
    </row>
    <row r="370">
      <c r="D370" s="791"/>
    </row>
    <row r="371">
      <c r="D371" s="791"/>
    </row>
    <row r="372">
      <c r="D372" s="791"/>
    </row>
    <row r="373">
      <c r="D373" s="791"/>
    </row>
    <row r="374">
      <c r="D374" s="791"/>
    </row>
    <row r="375">
      <c r="D375" s="791"/>
    </row>
    <row r="376">
      <c r="D376" s="791"/>
    </row>
    <row r="377">
      <c r="D377" s="791"/>
    </row>
    <row r="378">
      <c r="D378" s="791"/>
    </row>
    <row r="379">
      <c r="D379" s="791"/>
    </row>
    <row r="380">
      <c r="D380" s="791"/>
    </row>
    <row r="381">
      <c r="D381" s="791"/>
    </row>
    <row r="382">
      <c r="D382" s="791"/>
    </row>
    <row r="383">
      <c r="D383" s="791"/>
    </row>
    <row r="384">
      <c r="D384" s="791"/>
    </row>
    <row r="385">
      <c r="D385" s="791"/>
    </row>
    <row r="386">
      <c r="D386" s="791"/>
    </row>
    <row r="387">
      <c r="D387" s="791"/>
    </row>
    <row r="388">
      <c r="D388" s="791"/>
    </row>
    <row r="389">
      <c r="D389" s="791"/>
    </row>
    <row r="390">
      <c r="D390" s="791"/>
    </row>
    <row r="391">
      <c r="D391" s="791"/>
    </row>
    <row r="392">
      <c r="D392" s="791"/>
    </row>
    <row r="393">
      <c r="D393" s="791"/>
    </row>
    <row r="394">
      <c r="D394" s="791"/>
    </row>
    <row r="395">
      <c r="D395" s="791"/>
    </row>
    <row r="396">
      <c r="D396" s="791"/>
    </row>
    <row r="397">
      <c r="D397" s="791"/>
    </row>
    <row r="398">
      <c r="D398" s="791"/>
    </row>
    <row r="399">
      <c r="D399" s="791"/>
    </row>
    <row r="400">
      <c r="D400" s="791"/>
    </row>
    <row r="401">
      <c r="D401" s="791"/>
    </row>
    <row r="402">
      <c r="D402" s="791"/>
    </row>
    <row r="403">
      <c r="D403" s="791"/>
    </row>
    <row r="404">
      <c r="D404" s="791"/>
    </row>
    <row r="405">
      <c r="D405" s="791"/>
    </row>
    <row r="406">
      <c r="D406" s="791"/>
    </row>
    <row r="407">
      <c r="D407" s="791"/>
    </row>
    <row r="408">
      <c r="D408" s="791"/>
    </row>
    <row r="409">
      <c r="D409" s="791"/>
    </row>
    <row r="410">
      <c r="D410" s="791"/>
    </row>
    <row r="411">
      <c r="D411" s="791"/>
    </row>
    <row r="412">
      <c r="D412" s="791"/>
    </row>
    <row r="413">
      <c r="D413" s="791"/>
    </row>
    <row r="414">
      <c r="D414" s="791"/>
    </row>
    <row r="415">
      <c r="D415" s="791"/>
    </row>
    <row r="416">
      <c r="D416" s="791"/>
    </row>
    <row r="417">
      <c r="D417" s="791"/>
    </row>
    <row r="418">
      <c r="D418" s="791"/>
    </row>
    <row r="419">
      <c r="D419" s="791"/>
    </row>
    <row r="420">
      <c r="D420" s="791"/>
    </row>
    <row r="421">
      <c r="D421" s="791"/>
    </row>
    <row r="422">
      <c r="D422" s="791"/>
    </row>
    <row r="423">
      <c r="D423" s="791"/>
    </row>
    <row r="424">
      <c r="D424" s="791"/>
    </row>
    <row r="425">
      <c r="D425" s="791"/>
    </row>
    <row r="426">
      <c r="D426" s="791"/>
    </row>
    <row r="427">
      <c r="D427" s="791"/>
    </row>
    <row r="428">
      <c r="D428" s="791"/>
    </row>
    <row r="429">
      <c r="D429" s="791"/>
    </row>
    <row r="430">
      <c r="D430" s="791"/>
    </row>
    <row r="431">
      <c r="D431" s="791"/>
    </row>
    <row r="432">
      <c r="D432" s="791"/>
    </row>
    <row r="433">
      <c r="D433" s="791"/>
    </row>
    <row r="434">
      <c r="D434" s="791"/>
    </row>
    <row r="435">
      <c r="D435" s="791"/>
    </row>
    <row r="436">
      <c r="D436" s="791"/>
    </row>
    <row r="437">
      <c r="D437" s="791"/>
    </row>
    <row r="438">
      <c r="D438" s="791"/>
    </row>
    <row r="439">
      <c r="D439" s="791"/>
    </row>
    <row r="440">
      <c r="D440" s="791"/>
    </row>
    <row r="441">
      <c r="D441" s="791"/>
    </row>
    <row r="442">
      <c r="D442" s="791"/>
    </row>
    <row r="443">
      <c r="D443" s="791"/>
    </row>
    <row r="444">
      <c r="D444" s="791"/>
    </row>
    <row r="445">
      <c r="D445" s="791"/>
    </row>
    <row r="446">
      <c r="D446" s="791"/>
    </row>
    <row r="447">
      <c r="D447" s="791"/>
    </row>
    <row r="448">
      <c r="D448" s="791"/>
    </row>
    <row r="449">
      <c r="D449" s="791"/>
    </row>
    <row r="450">
      <c r="D450" s="791"/>
    </row>
    <row r="451">
      <c r="D451" s="791"/>
    </row>
    <row r="452">
      <c r="D452" s="791"/>
    </row>
    <row r="453">
      <c r="D453" s="791"/>
    </row>
    <row r="454">
      <c r="D454" s="791"/>
    </row>
    <row r="455">
      <c r="D455" s="791"/>
    </row>
    <row r="456">
      <c r="D456" s="791"/>
    </row>
    <row r="457">
      <c r="D457" s="791"/>
    </row>
    <row r="458">
      <c r="D458" s="791"/>
    </row>
    <row r="459">
      <c r="D459" s="791"/>
    </row>
    <row r="460">
      <c r="D460" s="791"/>
    </row>
    <row r="461">
      <c r="D461" s="791"/>
    </row>
    <row r="462">
      <c r="D462" s="791"/>
    </row>
    <row r="463">
      <c r="D463" s="791"/>
    </row>
    <row r="464">
      <c r="D464" s="791"/>
    </row>
    <row r="465">
      <c r="D465" s="791"/>
    </row>
    <row r="466">
      <c r="D466" s="791"/>
    </row>
    <row r="467">
      <c r="D467" s="791"/>
    </row>
    <row r="468">
      <c r="D468" s="791"/>
    </row>
    <row r="469">
      <c r="D469" s="791"/>
    </row>
    <row r="470">
      <c r="D470" s="791"/>
    </row>
    <row r="471">
      <c r="D471" s="791"/>
    </row>
    <row r="472">
      <c r="D472" s="791"/>
    </row>
    <row r="473">
      <c r="D473" s="791"/>
    </row>
    <row r="474">
      <c r="D474" s="791"/>
    </row>
    <row r="475">
      <c r="D475" s="791"/>
    </row>
    <row r="476">
      <c r="D476" s="791"/>
    </row>
    <row r="477">
      <c r="D477" s="791"/>
    </row>
    <row r="478">
      <c r="D478" s="791"/>
    </row>
    <row r="479">
      <c r="D479" s="791"/>
    </row>
    <row r="480">
      <c r="D480" s="791"/>
    </row>
    <row r="481">
      <c r="D481" s="791"/>
    </row>
    <row r="482">
      <c r="D482" s="791"/>
    </row>
    <row r="483">
      <c r="D483" s="791"/>
    </row>
    <row r="484">
      <c r="D484" s="791"/>
    </row>
    <row r="485">
      <c r="D485" s="791"/>
    </row>
    <row r="486">
      <c r="D486" s="791"/>
    </row>
    <row r="487">
      <c r="D487" s="791"/>
    </row>
    <row r="488">
      <c r="D488" s="791"/>
    </row>
    <row r="489">
      <c r="D489" s="791"/>
    </row>
    <row r="490">
      <c r="D490" s="791"/>
    </row>
    <row r="491">
      <c r="D491" s="791"/>
    </row>
    <row r="492">
      <c r="D492" s="791"/>
    </row>
    <row r="493">
      <c r="D493" s="791"/>
    </row>
    <row r="494">
      <c r="D494" s="791"/>
    </row>
    <row r="495">
      <c r="D495" s="791"/>
    </row>
    <row r="496">
      <c r="D496" s="791"/>
    </row>
    <row r="497">
      <c r="D497" s="791"/>
    </row>
    <row r="498">
      <c r="D498" s="791"/>
    </row>
    <row r="499">
      <c r="D499" s="791"/>
    </row>
    <row r="500">
      <c r="D500" s="791"/>
    </row>
    <row r="501">
      <c r="D501" s="791"/>
    </row>
    <row r="502">
      <c r="D502" s="791"/>
    </row>
    <row r="503">
      <c r="D503" s="791"/>
    </row>
    <row r="504">
      <c r="D504" s="791"/>
    </row>
    <row r="505">
      <c r="D505" s="791"/>
    </row>
    <row r="506">
      <c r="D506" s="791"/>
    </row>
    <row r="507">
      <c r="D507" s="791"/>
    </row>
    <row r="508">
      <c r="D508" s="791"/>
    </row>
    <row r="509">
      <c r="D509" s="791"/>
    </row>
    <row r="510">
      <c r="D510" s="791"/>
    </row>
    <row r="511">
      <c r="D511" s="791"/>
    </row>
    <row r="512">
      <c r="D512" s="791"/>
    </row>
    <row r="513">
      <c r="D513" s="791"/>
    </row>
    <row r="514">
      <c r="D514" s="791"/>
    </row>
    <row r="515">
      <c r="D515" s="791"/>
    </row>
    <row r="516">
      <c r="D516" s="791"/>
    </row>
    <row r="517">
      <c r="D517" s="791"/>
    </row>
    <row r="518">
      <c r="D518" s="791"/>
    </row>
    <row r="519">
      <c r="D519" s="791"/>
    </row>
    <row r="520">
      <c r="D520" s="791"/>
    </row>
    <row r="521">
      <c r="D521" s="791"/>
    </row>
    <row r="522">
      <c r="D522" s="791"/>
    </row>
    <row r="523">
      <c r="D523" s="791"/>
    </row>
    <row r="524">
      <c r="D524" s="791"/>
    </row>
    <row r="525">
      <c r="D525" s="791"/>
    </row>
    <row r="526">
      <c r="D526" s="791"/>
    </row>
    <row r="527">
      <c r="D527" s="791"/>
    </row>
    <row r="528">
      <c r="D528" s="791"/>
    </row>
    <row r="529">
      <c r="D529" s="791"/>
    </row>
    <row r="530">
      <c r="D530" s="791"/>
    </row>
    <row r="531">
      <c r="D531" s="791"/>
    </row>
    <row r="532">
      <c r="D532" s="791"/>
    </row>
    <row r="533">
      <c r="D533" s="791"/>
    </row>
    <row r="534">
      <c r="D534" s="791"/>
    </row>
    <row r="535">
      <c r="D535" s="791"/>
    </row>
    <row r="536">
      <c r="D536" s="791"/>
    </row>
    <row r="537">
      <c r="D537" s="791"/>
    </row>
    <row r="538">
      <c r="D538" s="791"/>
    </row>
    <row r="539">
      <c r="D539" s="791"/>
    </row>
    <row r="540">
      <c r="D540" s="791"/>
    </row>
    <row r="541">
      <c r="D541" s="791"/>
    </row>
    <row r="542">
      <c r="D542" s="791"/>
    </row>
    <row r="543">
      <c r="D543" s="791"/>
    </row>
    <row r="544">
      <c r="D544" s="791"/>
    </row>
    <row r="545">
      <c r="D545" s="791"/>
    </row>
    <row r="546">
      <c r="D546" s="791"/>
    </row>
    <row r="547">
      <c r="D547" s="791"/>
    </row>
    <row r="548">
      <c r="D548" s="791"/>
    </row>
    <row r="549">
      <c r="D549" s="791"/>
    </row>
    <row r="550">
      <c r="D550" s="791"/>
    </row>
    <row r="551">
      <c r="D551" s="791"/>
    </row>
    <row r="552">
      <c r="D552" s="791"/>
    </row>
    <row r="553">
      <c r="D553" s="791"/>
    </row>
    <row r="554">
      <c r="D554" s="791"/>
    </row>
    <row r="555">
      <c r="D555" s="791"/>
    </row>
    <row r="556">
      <c r="D556" s="791"/>
    </row>
    <row r="557">
      <c r="D557" s="791"/>
    </row>
    <row r="558">
      <c r="D558" s="791"/>
    </row>
    <row r="559">
      <c r="D559" s="791"/>
    </row>
    <row r="560">
      <c r="D560" s="791"/>
    </row>
    <row r="561">
      <c r="D561" s="791"/>
    </row>
    <row r="562">
      <c r="D562" s="791"/>
    </row>
    <row r="563">
      <c r="D563" s="791"/>
    </row>
    <row r="564">
      <c r="D564" s="791"/>
    </row>
    <row r="565">
      <c r="D565" s="791"/>
    </row>
    <row r="566">
      <c r="D566" s="791"/>
    </row>
    <row r="567">
      <c r="D567" s="791"/>
    </row>
    <row r="568">
      <c r="D568" s="791"/>
    </row>
    <row r="569">
      <c r="D569" s="791"/>
    </row>
    <row r="570">
      <c r="D570" s="791"/>
    </row>
    <row r="571">
      <c r="D571" s="791"/>
    </row>
    <row r="572">
      <c r="D572" s="791"/>
    </row>
    <row r="573">
      <c r="D573" s="791"/>
    </row>
    <row r="574">
      <c r="D574" s="791"/>
    </row>
    <row r="575">
      <c r="D575" s="791"/>
    </row>
    <row r="576">
      <c r="D576" s="791"/>
    </row>
    <row r="577">
      <c r="D577" s="791"/>
    </row>
    <row r="578">
      <c r="D578" s="791"/>
    </row>
    <row r="579">
      <c r="D579" s="791"/>
    </row>
    <row r="580">
      <c r="D580" s="791"/>
    </row>
    <row r="581">
      <c r="D581" s="791"/>
    </row>
    <row r="582">
      <c r="D582" s="791"/>
    </row>
    <row r="583">
      <c r="D583" s="791"/>
    </row>
    <row r="584">
      <c r="D584" s="791"/>
    </row>
    <row r="585">
      <c r="D585" s="791"/>
    </row>
    <row r="586">
      <c r="D586" s="791"/>
    </row>
    <row r="587">
      <c r="D587" s="791"/>
    </row>
    <row r="588">
      <c r="D588" s="791"/>
    </row>
    <row r="589">
      <c r="D589" s="791"/>
    </row>
    <row r="590">
      <c r="D590" s="791"/>
    </row>
    <row r="591">
      <c r="D591" s="791"/>
    </row>
    <row r="592">
      <c r="D592" s="791"/>
    </row>
    <row r="593">
      <c r="D593" s="791"/>
    </row>
    <row r="594">
      <c r="D594" s="791"/>
    </row>
    <row r="595">
      <c r="D595" s="791"/>
    </row>
    <row r="596">
      <c r="D596" s="791"/>
    </row>
    <row r="597">
      <c r="D597" s="791"/>
    </row>
    <row r="598">
      <c r="D598" s="791"/>
    </row>
    <row r="599">
      <c r="D599" s="791"/>
    </row>
    <row r="600">
      <c r="D600" s="791"/>
    </row>
    <row r="601">
      <c r="D601" s="791"/>
    </row>
    <row r="602">
      <c r="D602" s="791"/>
    </row>
    <row r="603">
      <c r="D603" s="791"/>
    </row>
    <row r="604">
      <c r="D604" s="791"/>
    </row>
    <row r="605">
      <c r="D605" s="791"/>
    </row>
    <row r="606">
      <c r="D606" s="791"/>
    </row>
    <row r="607">
      <c r="D607" s="791"/>
    </row>
    <row r="608">
      <c r="D608" s="791"/>
    </row>
    <row r="609">
      <c r="D609" s="791"/>
    </row>
    <row r="610">
      <c r="D610" s="791"/>
    </row>
    <row r="611">
      <c r="D611" s="791"/>
    </row>
    <row r="612">
      <c r="D612" s="791"/>
    </row>
    <row r="613">
      <c r="D613" s="791"/>
    </row>
    <row r="614">
      <c r="D614" s="791"/>
    </row>
    <row r="615">
      <c r="D615" s="791"/>
    </row>
    <row r="616">
      <c r="D616" s="791"/>
    </row>
    <row r="617">
      <c r="D617" s="791"/>
    </row>
    <row r="618">
      <c r="D618" s="791"/>
    </row>
    <row r="619">
      <c r="D619" s="791"/>
    </row>
    <row r="620">
      <c r="D620" s="791"/>
    </row>
    <row r="621">
      <c r="D621" s="791"/>
    </row>
    <row r="622">
      <c r="D622" s="791"/>
    </row>
    <row r="623">
      <c r="D623" s="791"/>
    </row>
    <row r="624">
      <c r="D624" s="791"/>
    </row>
    <row r="625">
      <c r="D625" s="791"/>
    </row>
    <row r="626">
      <c r="D626" s="791"/>
    </row>
    <row r="627">
      <c r="D627" s="791"/>
    </row>
    <row r="628">
      <c r="D628" s="791"/>
    </row>
    <row r="629">
      <c r="D629" s="791"/>
    </row>
    <row r="630">
      <c r="D630" s="791"/>
    </row>
    <row r="631">
      <c r="D631" s="791"/>
    </row>
    <row r="632">
      <c r="D632" s="791"/>
    </row>
    <row r="633">
      <c r="D633" s="791"/>
    </row>
    <row r="634">
      <c r="D634" s="791"/>
    </row>
    <row r="635">
      <c r="D635" s="791"/>
    </row>
    <row r="636">
      <c r="D636" s="791"/>
    </row>
    <row r="637">
      <c r="D637" s="791"/>
    </row>
    <row r="638">
      <c r="D638" s="791"/>
    </row>
    <row r="639">
      <c r="D639" s="791"/>
    </row>
    <row r="640">
      <c r="D640" s="791"/>
    </row>
    <row r="641">
      <c r="D641" s="791"/>
    </row>
    <row r="642">
      <c r="D642" s="791"/>
    </row>
    <row r="643">
      <c r="D643" s="791"/>
    </row>
    <row r="644">
      <c r="D644" s="791"/>
    </row>
    <row r="645">
      <c r="D645" s="791"/>
    </row>
    <row r="646">
      <c r="D646" s="791"/>
    </row>
    <row r="647">
      <c r="D647" s="791"/>
    </row>
    <row r="648">
      <c r="D648" s="791"/>
    </row>
    <row r="649">
      <c r="D649" s="791"/>
    </row>
    <row r="650">
      <c r="D650" s="791"/>
    </row>
    <row r="651">
      <c r="D651" s="791"/>
    </row>
    <row r="652">
      <c r="D652" s="791"/>
    </row>
    <row r="653">
      <c r="D653" s="791"/>
    </row>
    <row r="654">
      <c r="D654" s="791"/>
    </row>
    <row r="655">
      <c r="D655" s="791"/>
    </row>
    <row r="656">
      <c r="D656" s="791"/>
    </row>
    <row r="657">
      <c r="D657" s="791"/>
    </row>
    <row r="658">
      <c r="D658" s="791"/>
    </row>
    <row r="659">
      <c r="D659" s="791"/>
    </row>
    <row r="660">
      <c r="D660" s="791"/>
    </row>
    <row r="661">
      <c r="D661" s="791"/>
    </row>
    <row r="662">
      <c r="D662" s="791"/>
    </row>
    <row r="663">
      <c r="D663" s="791"/>
    </row>
    <row r="664">
      <c r="D664" s="791"/>
    </row>
    <row r="665">
      <c r="D665" s="791"/>
    </row>
    <row r="666">
      <c r="D666" s="791"/>
    </row>
    <row r="667">
      <c r="D667" s="791"/>
    </row>
    <row r="668">
      <c r="D668" s="791"/>
    </row>
    <row r="669">
      <c r="D669" s="791"/>
    </row>
    <row r="670">
      <c r="D670" s="791"/>
    </row>
    <row r="671">
      <c r="D671" s="791"/>
    </row>
    <row r="672">
      <c r="D672" s="791"/>
    </row>
    <row r="673">
      <c r="D673" s="791"/>
    </row>
    <row r="674">
      <c r="D674" s="791"/>
    </row>
    <row r="675">
      <c r="D675" s="791"/>
    </row>
    <row r="676">
      <c r="D676" s="791"/>
    </row>
    <row r="677">
      <c r="D677" s="791"/>
    </row>
    <row r="678">
      <c r="D678" s="791"/>
    </row>
    <row r="679">
      <c r="D679" s="791"/>
    </row>
    <row r="680">
      <c r="D680" s="791"/>
    </row>
    <row r="681">
      <c r="D681" s="791"/>
    </row>
    <row r="682">
      <c r="D682" s="791"/>
    </row>
    <row r="683">
      <c r="D683" s="791"/>
    </row>
    <row r="684">
      <c r="D684" s="791"/>
    </row>
    <row r="685">
      <c r="D685" s="791"/>
    </row>
    <row r="686">
      <c r="D686" s="791"/>
    </row>
    <row r="687">
      <c r="D687" s="791"/>
    </row>
    <row r="688">
      <c r="D688" s="791"/>
    </row>
    <row r="689">
      <c r="D689" s="791"/>
    </row>
    <row r="690">
      <c r="D690" s="791"/>
    </row>
    <row r="691">
      <c r="D691" s="791"/>
    </row>
    <row r="692">
      <c r="D692" s="791"/>
    </row>
    <row r="693">
      <c r="D693" s="791"/>
    </row>
    <row r="694">
      <c r="D694" s="791"/>
    </row>
    <row r="695">
      <c r="D695" s="791"/>
    </row>
    <row r="696">
      <c r="D696" s="791"/>
    </row>
    <row r="697">
      <c r="D697" s="791"/>
    </row>
    <row r="698">
      <c r="D698" s="791"/>
    </row>
    <row r="699">
      <c r="D699" s="791"/>
    </row>
    <row r="700">
      <c r="D700" s="791"/>
    </row>
    <row r="701">
      <c r="D701" s="791"/>
    </row>
    <row r="702">
      <c r="D702" s="791"/>
    </row>
    <row r="703">
      <c r="D703" s="791"/>
    </row>
    <row r="704">
      <c r="D704" s="791"/>
    </row>
    <row r="705">
      <c r="D705" s="791"/>
    </row>
    <row r="706">
      <c r="D706" s="791"/>
    </row>
    <row r="707">
      <c r="D707" s="791"/>
    </row>
    <row r="708">
      <c r="D708" s="791"/>
    </row>
    <row r="709">
      <c r="D709" s="791"/>
    </row>
    <row r="710">
      <c r="D710" s="791"/>
    </row>
    <row r="711">
      <c r="D711" s="791"/>
    </row>
    <row r="712">
      <c r="D712" s="791"/>
    </row>
    <row r="713">
      <c r="D713" s="791"/>
    </row>
    <row r="714">
      <c r="D714" s="791"/>
    </row>
    <row r="715">
      <c r="D715" s="791"/>
    </row>
    <row r="716">
      <c r="D716" s="791"/>
    </row>
    <row r="717">
      <c r="D717" s="791"/>
    </row>
    <row r="718">
      <c r="D718" s="791"/>
    </row>
    <row r="719">
      <c r="D719" s="791"/>
    </row>
    <row r="720">
      <c r="D720" s="791"/>
    </row>
    <row r="721">
      <c r="D721" s="791"/>
    </row>
    <row r="722">
      <c r="D722" s="791"/>
    </row>
    <row r="723">
      <c r="D723" s="791"/>
    </row>
    <row r="724">
      <c r="D724" s="791"/>
    </row>
    <row r="725">
      <c r="D725" s="791"/>
    </row>
    <row r="726">
      <c r="D726" s="791"/>
    </row>
    <row r="727">
      <c r="D727" s="791"/>
    </row>
    <row r="728">
      <c r="D728" s="791"/>
    </row>
    <row r="729">
      <c r="D729" s="791"/>
    </row>
    <row r="730">
      <c r="D730" s="791"/>
    </row>
    <row r="731">
      <c r="D731" s="791"/>
    </row>
    <row r="732">
      <c r="D732" s="791"/>
    </row>
    <row r="733">
      <c r="D733" s="791"/>
    </row>
    <row r="734">
      <c r="D734" s="791"/>
    </row>
    <row r="735">
      <c r="D735" s="791"/>
    </row>
    <row r="736">
      <c r="D736" s="791"/>
    </row>
    <row r="737">
      <c r="D737" s="791"/>
    </row>
    <row r="738">
      <c r="D738" s="791"/>
    </row>
    <row r="739">
      <c r="D739" s="791"/>
    </row>
    <row r="740">
      <c r="D740" s="791"/>
    </row>
    <row r="741">
      <c r="D741" s="791"/>
    </row>
    <row r="742">
      <c r="D742" s="791"/>
    </row>
    <row r="743">
      <c r="D743" s="791"/>
    </row>
    <row r="744">
      <c r="D744" s="791"/>
    </row>
    <row r="745">
      <c r="D745" s="791"/>
    </row>
    <row r="746">
      <c r="D746" s="791"/>
    </row>
    <row r="747">
      <c r="D747" s="791"/>
    </row>
    <row r="748">
      <c r="D748" s="791"/>
    </row>
    <row r="749">
      <c r="D749" s="791"/>
    </row>
    <row r="750">
      <c r="D750" s="791"/>
    </row>
    <row r="751">
      <c r="D751" s="791"/>
    </row>
    <row r="752">
      <c r="D752" s="791"/>
    </row>
    <row r="753">
      <c r="D753" s="791"/>
    </row>
    <row r="754">
      <c r="D754" s="791"/>
    </row>
    <row r="755">
      <c r="D755" s="791"/>
    </row>
    <row r="756">
      <c r="D756" s="791"/>
    </row>
    <row r="757">
      <c r="D757" s="791"/>
    </row>
    <row r="758">
      <c r="D758" s="791"/>
    </row>
    <row r="759">
      <c r="D759" s="791"/>
    </row>
    <row r="760">
      <c r="D760" s="791"/>
    </row>
    <row r="761">
      <c r="D761" s="791"/>
    </row>
    <row r="762">
      <c r="D762" s="791"/>
    </row>
    <row r="763">
      <c r="D763" s="791"/>
    </row>
    <row r="764">
      <c r="D764" s="791"/>
    </row>
    <row r="765">
      <c r="D765" s="791"/>
    </row>
    <row r="766">
      <c r="D766" s="791"/>
    </row>
    <row r="767">
      <c r="D767" s="791"/>
    </row>
    <row r="768">
      <c r="D768" s="791"/>
    </row>
    <row r="769">
      <c r="D769" s="791"/>
    </row>
    <row r="770">
      <c r="D770" s="791"/>
    </row>
    <row r="771">
      <c r="D771" s="791"/>
    </row>
    <row r="772">
      <c r="D772" s="791"/>
    </row>
    <row r="773">
      <c r="D773" s="791"/>
    </row>
    <row r="774">
      <c r="D774" s="791"/>
    </row>
    <row r="775">
      <c r="D775" s="791"/>
    </row>
    <row r="776">
      <c r="D776" s="791"/>
    </row>
    <row r="777">
      <c r="D777" s="791"/>
    </row>
    <row r="778">
      <c r="D778" s="791"/>
    </row>
    <row r="779">
      <c r="D779" s="791"/>
    </row>
    <row r="780">
      <c r="D780" s="791"/>
    </row>
    <row r="781">
      <c r="D781" s="791"/>
    </row>
    <row r="782">
      <c r="D782" s="791"/>
    </row>
    <row r="783">
      <c r="D783" s="791"/>
    </row>
    <row r="784">
      <c r="D784" s="791"/>
    </row>
    <row r="785">
      <c r="D785" s="791"/>
    </row>
    <row r="786">
      <c r="D786" s="791"/>
    </row>
    <row r="787">
      <c r="D787" s="791"/>
    </row>
    <row r="788">
      <c r="D788" s="791"/>
    </row>
    <row r="789">
      <c r="D789" s="791"/>
    </row>
    <row r="790">
      <c r="D790" s="791"/>
    </row>
    <row r="791">
      <c r="D791" s="791"/>
    </row>
    <row r="792">
      <c r="D792" s="791"/>
    </row>
    <row r="793">
      <c r="D793" s="791"/>
    </row>
    <row r="794">
      <c r="D794" s="791"/>
    </row>
    <row r="795">
      <c r="D795" s="791"/>
    </row>
    <row r="796">
      <c r="D796" s="791"/>
    </row>
    <row r="797">
      <c r="D797" s="791"/>
    </row>
    <row r="798">
      <c r="D798" s="791"/>
    </row>
    <row r="799">
      <c r="D799" s="791"/>
    </row>
    <row r="800">
      <c r="D800" s="791"/>
    </row>
    <row r="801">
      <c r="D801" s="791"/>
    </row>
    <row r="802">
      <c r="D802" s="791"/>
    </row>
    <row r="803">
      <c r="D803" s="791"/>
    </row>
    <row r="804">
      <c r="D804" s="791"/>
    </row>
    <row r="805">
      <c r="D805" s="791"/>
    </row>
    <row r="806">
      <c r="D806" s="791"/>
    </row>
    <row r="807">
      <c r="D807" s="791"/>
    </row>
    <row r="808">
      <c r="D808" s="791"/>
    </row>
    <row r="809">
      <c r="D809" s="791"/>
    </row>
    <row r="810">
      <c r="D810" s="791"/>
    </row>
    <row r="811">
      <c r="D811" s="791"/>
    </row>
    <row r="812">
      <c r="D812" s="791"/>
    </row>
    <row r="813">
      <c r="D813" s="791"/>
    </row>
    <row r="814">
      <c r="D814" s="791"/>
    </row>
    <row r="815">
      <c r="D815" s="791"/>
    </row>
    <row r="816">
      <c r="D816" s="791"/>
    </row>
    <row r="817">
      <c r="D817" s="791"/>
    </row>
    <row r="818">
      <c r="D818" s="791"/>
    </row>
    <row r="819">
      <c r="D819" s="791"/>
    </row>
    <row r="820">
      <c r="D820" s="791"/>
    </row>
    <row r="821">
      <c r="D821" s="791"/>
    </row>
    <row r="822">
      <c r="D822" s="791"/>
    </row>
    <row r="823">
      <c r="D823" s="791"/>
    </row>
    <row r="824">
      <c r="D824" s="791"/>
    </row>
    <row r="825">
      <c r="D825" s="791"/>
    </row>
    <row r="826">
      <c r="D826" s="791"/>
    </row>
    <row r="827">
      <c r="D827" s="791"/>
    </row>
    <row r="828">
      <c r="D828" s="791"/>
    </row>
    <row r="829">
      <c r="D829" s="791"/>
    </row>
    <row r="830">
      <c r="D830" s="791"/>
    </row>
    <row r="831">
      <c r="D831" s="791"/>
    </row>
    <row r="832">
      <c r="D832" s="791"/>
    </row>
    <row r="833">
      <c r="D833" s="791"/>
    </row>
    <row r="834">
      <c r="D834" s="791"/>
    </row>
    <row r="835">
      <c r="D835" s="791"/>
    </row>
    <row r="836">
      <c r="D836" s="791"/>
    </row>
    <row r="837">
      <c r="D837" s="791"/>
    </row>
    <row r="838">
      <c r="D838" s="791"/>
    </row>
    <row r="839">
      <c r="D839" s="791"/>
    </row>
    <row r="840">
      <c r="D840" s="791"/>
    </row>
    <row r="841">
      <c r="D841" s="791"/>
    </row>
    <row r="842">
      <c r="D842" s="791"/>
    </row>
    <row r="843">
      <c r="D843" s="791"/>
    </row>
    <row r="844">
      <c r="D844" s="791"/>
    </row>
    <row r="845">
      <c r="D845" s="791"/>
    </row>
    <row r="846">
      <c r="D846" s="791"/>
    </row>
    <row r="847">
      <c r="D847" s="791"/>
    </row>
    <row r="848">
      <c r="D848" s="791"/>
    </row>
    <row r="849">
      <c r="D849" s="791"/>
    </row>
    <row r="850">
      <c r="D850" s="791"/>
    </row>
    <row r="851">
      <c r="D851" s="791"/>
    </row>
    <row r="852">
      <c r="D852" s="791"/>
    </row>
    <row r="853">
      <c r="D853" s="791"/>
    </row>
    <row r="854">
      <c r="D854" s="791"/>
    </row>
    <row r="855">
      <c r="D855" s="791"/>
    </row>
    <row r="856">
      <c r="D856" s="791"/>
    </row>
    <row r="857">
      <c r="D857" s="791"/>
    </row>
    <row r="858">
      <c r="D858" s="791"/>
    </row>
    <row r="859">
      <c r="D859" s="791"/>
    </row>
    <row r="860">
      <c r="D860" s="791"/>
    </row>
    <row r="861">
      <c r="D861" s="791"/>
    </row>
    <row r="862">
      <c r="D862" s="791"/>
    </row>
    <row r="863">
      <c r="D863" s="791"/>
    </row>
    <row r="864">
      <c r="D864" s="791"/>
    </row>
    <row r="865">
      <c r="D865" s="791"/>
    </row>
    <row r="866">
      <c r="D866" s="791"/>
    </row>
    <row r="867">
      <c r="D867" s="791"/>
    </row>
    <row r="868">
      <c r="D868" s="791"/>
    </row>
    <row r="869">
      <c r="D869" s="791"/>
    </row>
    <row r="870">
      <c r="D870" s="791"/>
    </row>
    <row r="871">
      <c r="D871" s="791"/>
    </row>
    <row r="872">
      <c r="D872" s="791"/>
    </row>
    <row r="873">
      <c r="D873" s="791"/>
    </row>
    <row r="874">
      <c r="D874" s="791"/>
    </row>
    <row r="875">
      <c r="D875" s="791"/>
    </row>
    <row r="876">
      <c r="D876" s="791"/>
    </row>
    <row r="877">
      <c r="D877" s="791"/>
    </row>
    <row r="878">
      <c r="D878" s="791"/>
    </row>
    <row r="879">
      <c r="D879" s="791"/>
    </row>
    <row r="880">
      <c r="D880" s="791"/>
    </row>
    <row r="881">
      <c r="D881" s="791"/>
    </row>
    <row r="882">
      <c r="D882" s="791"/>
    </row>
    <row r="883">
      <c r="D883" s="791"/>
    </row>
    <row r="884">
      <c r="D884" s="791"/>
    </row>
    <row r="885">
      <c r="D885" s="791"/>
    </row>
    <row r="886">
      <c r="D886" s="791"/>
    </row>
    <row r="887">
      <c r="D887" s="791"/>
    </row>
    <row r="888">
      <c r="D888" s="791"/>
    </row>
    <row r="889">
      <c r="D889" s="791"/>
    </row>
    <row r="890">
      <c r="D890" s="791"/>
    </row>
    <row r="891">
      <c r="D891" s="791"/>
    </row>
    <row r="892">
      <c r="D892" s="791"/>
    </row>
    <row r="893">
      <c r="D893" s="791"/>
    </row>
    <row r="894">
      <c r="D894" s="791"/>
    </row>
    <row r="895">
      <c r="D895" s="791"/>
    </row>
    <row r="896">
      <c r="D896" s="791"/>
    </row>
    <row r="897">
      <c r="D897" s="791"/>
    </row>
    <row r="898">
      <c r="D898" s="791"/>
    </row>
    <row r="899">
      <c r="D899" s="791"/>
    </row>
    <row r="900">
      <c r="D900" s="791"/>
    </row>
    <row r="901">
      <c r="D901" s="791"/>
    </row>
    <row r="902">
      <c r="D902" s="791"/>
    </row>
    <row r="903">
      <c r="D903" s="791"/>
    </row>
    <row r="904">
      <c r="D904" s="791"/>
    </row>
    <row r="905">
      <c r="D905" s="791"/>
    </row>
    <row r="906">
      <c r="D906" s="791"/>
    </row>
    <row r="907">
      <c r="D907" s="791"/>
    </row>
    <row r="908">
      <c r="D908" s="791"/>
    </row>
    <row r="909">
      <c r="D909" s="791"/>
    </row>
    <row r="910">
      <c r="D910" s="791"/>
    </row>
    <row r="911">
      <c r="D911" s="791"/>
    </row>
    <row r="912">
      <c r="D912" s="791"/>
    </row>
    <row r="913">
      <c r="D913" s="791"/>
    </row>
    <row r="914">
      <c r="D914" s="791"/>
    </row>
    <row r="915">
      <c r="D915" s="791"/>
    </row>
    <row r="916">
      <c r="D916" s="791"/>
    </row>
    <row r="917">
      <c r="D917" s="791"/>
    </row>
    <row r="918">
      <c r="D918" s="791"/>
    </row>
    <row r="919">
      <c r="D919" s="791"/>
    </row>
    <row r="920">
      <c r="D920" s="791"/>
    </row>
    <row r="921">
      <c r="D921" s="791"/>
    </row>
    <row r="922">
      <c r="D922" s="791"/>
    </row>
    <row r="923">
      <c r="D923" s="791"/>
    </row>
    <row r="924">
      <c r="D924" s="791"/>
    </row>
    <row r="925">
      <c r="D925" s="791"/>
    </row>
    <row r="926">
      <c r="D926" s="791"/>
    </row>
    <row r="927">
      <c r="D927" s="791"/>
    </row>
    <row r="928">
      <c r="D928" s="791"/>
    </row>
    <row r="929">
      <c r="D929" s="791"/>
    </row>
    <row r="930">
      <c r="D930" s="791"/>
    </row>
    <row r="931">
      <c r="D931" s="791"/>
    </row>
    <row r="932">
      <c r="D932" s="791"/>
    </row>
    <row r="933">
      <c r="D933" s="791"/>
    </row>
    <row r="934">
      <c r="D934" s="791"/>
    </row>
    <row r="935">
      <c r="D935" s="791"/>
    </row>
    <row r="936">
      <c r="D936" s="791"/>
    </row>
    <row r="937">
      <c r="D937" s="791"/>
    </row>
    <row r="938">
      <c r="D938" s="791"/>
    </row>
    <row r="939">
      <c r="D939" s="791"/>
    </row>
    <row r="940">
      <c r="D940" s="791"/>
    </row>
    <row r="941">
      <c r="D941" s="791"/>
    </row>
    <row r="942">
      <c r="D942" s="791"/>
    </row>
    <row r="943">
      <c r="D943" s="791"/>
    </row>
    <row r="944">
      <c r="D944" s="791"/>
    </row>
    <row r="945">
      <c r="D945" s="791"/>
    </row>
    <row r="946">
      <c r="D946" s="791"/>
    </row>
    <row r="947">
      <c r="D947" s="791"/>
    </row>
    <row r="948">
      <c r="D948" s="791"/>
    </row>
    <row r="949">
      <c r="D949" s="791"/>
    </row>
    <row r="950">
      <c r="D950" s="791"/>
    </row>
    <row r="951">
      <c r="D951" s="791"/>
    </row>
    <row r="952">
      <c r="D952" s="791"/>
    </row>
    <row r="953">
      <c r="D953" s="791"/>
    </row>
    <row r="954">
      <c r="D954" s="791"/>
    </row>
    <row r="955">
      <c r="D955" s="791"/>
    </row>
    <row r="956">
      <c r="D956" s="791"/>
    </row>
    <row r="957">
      <c r="D957" s="791"/>
    </row>
    <row r="958">
      <c r="D958" s="791"/>
    </row>
    <row r="959">
      <c r="D959" s="791"/>
    </row>
    <row r="960">
      <c r="D960" s="791"/>
    </row>
    <row r="961">
      <c r="D961" s="791"/>
    </row>
    <row r="962">
      <c r="D962" s="791"/>
    </row>
    <row r="963">
      <c r="D963" s="791"/>
    </row>
    <row r="964">
      <c r="D964" s="791"/>
    </row>
    <row r="965">
      <c r="D965" s="791"/>
    </row>
    <row r="966">
      <c r="D966" s="791"/>
    </row>
    <row r="967">
      <c r="D967" s="791"/>
    </row>
    <row r="968">
      <c r="D968" s="791"/>
    </row>
    <row r="969">
      <c r="D969" s="791"/>
    </row>
    <row r="970">
      <c r="D970" s="791"/>
    </row>
    <row r="971">
      <c r="D971" s="791"/>
    </row>
    <row r="972">
      <c r="D972" s="791"/>
    </row>
    <row r="973">
      <c r="D973" s="791"/>
    </row>
    <row r="974">
      <c r="D974" s="791"/>
    </row>
    <row r="975">
      <c r="D975" s="791"/>
    </row>
    <row r="976">
      <c r="D976" s="791"/>
    </row>
    <row r="977">
      <c r="D977" s="791"/>
    </row>
    <row r="978">
      <c r="D978" s="791"/>
    </row>
    <row r="979">
      <c r="D979" s="791"/>
    </row>
    <row r="980">
      <c r="D980" s="791"/>
    </row>
    <row r="981">
      <c r="D981" s="791"/>
    </row>
    <row r="982">
      <c r="D982" s="791"/>
    </row>
    <row r="983">
      <c r="D983" s="791"/>
    </row>
    <row r="984">
      <c r="D984" s="791"/>
    </row>
    <row r="985">
      <c r="D985" s="791"/>
    </row>
    <row r="986">
      <c r="D986" s="791"/>
    </row>
    <row r="987">
      <c r="D987" s="791"/>
    </row>
    <row r="988">
      <c r="D988" s="791"/>
    </row>
    <row r="989">
      <c r="D989" s="791"/>
    </row>
    <row r="990">
      <c r="D990" s="791"/>
    </row>
    <row r="991">
      <c r="D991" s="791"/>
    </row>
    <row r="992">
      <c r="D992" s="791"/>
    </row>
    <row r="993">
      <c r="D993" s="791"/>
    </row>
    <row r="994">
      <c r="D994" s="791"/>
    </row>
    <row r="995">
      <c r="D995" s="791"/>
    </row>
    <row r="996">
      <c r="D996" s="791"/>
    </row>
    <row r="997">
      <c r="D997" s="791"/>
    </row>
    <row r="998">
      <c r="D998" s="791"/>
    </row>
    <row r="999">
      <c r="D999" s="791"/>
    </row>
    <row r="1000">
      <c r="D1000" s="791"/>
    </row>
    <row r="1001">
      <c r="D1001" s="791"/>
    </row>
    <row r="1002">
      <c r="D1002" s="791"/>
    </row>
    <row r="1003">
      <c r="D1003" s="791"/>
    </row>
    <row r="1004">
      <c r="D1004" s="791"/>
    </row>
    <row r="1005">
      <c r="D1005" s="791"/>
    </row>
    <row r="1006">
      <c r="D1006" s="791"/>
    </row>
    <row r="1007">
      <c r="D1007" s="791"/>
    </row>
    <row r="1008">
      <c r="D1008" s="791"/>
    </row>
    <row r="1009">
      <c r="D1009" s="791"/>
    </row>
    <row r="1010">
      <c r="D1010" s="791"/>
    </row>
    <row r="1011">
      <c r="D1011" s="791"/>
    </row>
    <row r="1012">
      <c r="D1012" s="791"/>
    </row>
    <row r="1013">
      <c r="D1013" s="791"/>
    </row>
    <row r="1014">
      <c r="D1014" s="791"/>
    </row>
    <row r="1015">
      <c r="D1015" s="791"/>
    </row>
    <row r="1016">
      <c r="D1016" s="791"/>
    </row>
    <row r="1017">
      <c r="D1017" s="791"/>
    </row>
    <row r="1018">
      <c r="D1018" s="791"/>
    </row>
    <row r="1019">
      <c r="D1019" s="791"/>
    </row>
    <row r="1020">
      <c r="D1020" s="791"/>
    </row>
    <row r="1021">
      <c r="D1021" s="791"/>
    </row>
    <row r="1022">
      <c r="D1022" s="791"/>
    </row>
    <row r="1023">
      <c r="D1023" s="791"/>
    </row>
    <row r="1024">
      <c r="D1024" s="791"/>
    </row>
    <row r="1025">
      <c r="D1025" s="791"/>
    </row>
    <row r="1026">
      <c r="D1026" s="791"/>
    </row>
    <row r="1027">
      <c r="D1027" s="791"/>
    </row>
    <row r="1028">
      <c r="D1028" s="791"/>
    </row>
    <row r="1029">
      <c r="D1029" s="791"/>
    </row>
    <row r="1030">
      <c r="D1030" s="791"/>
    </row>
    <row r="1031">
      <c r="D1031" s="791"/>
    </row>
    <row r="1032">
      <c r="D1032" s="791"/>
    </row>
    <row r="1033">
      <c r="D1033" s="791"/>
    </row>
    <row r="1034">
      <c r="D1034" s="791"/>
    </row>
    <row r="1035">
      <c r="D1035" s="791"/>
    </row>
    <row r="1036">
      <c r="D1036" s="791"/>
    </row>
    <row r="1037">
      <c r="D1037" s="791"/>
    </row>
    <row r="1038">
      <c r="D1038" s="791"/>
    </row>
    <row r="1039">
      <c r="D1039" s="791"/>
    </row>
    <row r="1040">
      <c r="D1040" s="791"/>
    </row>
    <row r="1041">
      <c r="D1041" s="791"/>
    </row>
    <row r="1042">
      <c r="D1042" s="791"/>
    </row>
    <row r="1043">
      <c r="D1043" s="791"/>
    </row>
    <row r="1044">
      <c r="D1044" s="791"/>
    </row>
    <row r="1045">
      <c r="D1045" s="791"/>
    </row>
    <row r="1046">
      <c r="D1046" s="791"/>
    </row>
  </sheetData>
  <mergeCells count="78">
    <mergeCell ref="N125:O125"/>
    <mergeCell ref="N126:O126"/>
    <mergeCell ref="N127:O127"/>
    <mergeCell ref="N128:O128"/>
    <mergeCell ref="N129:O129"/>
    <mergeCell ref="N130:O130"/>
    <mergeCell ref="N131:O131"/>
    <mergeCell ref="N133:O133"/>
    <mergeCell ref="N134:O134"/>
    <mergeCell ref="N135:O135"/>
    <mergeCell ref="N137:O137"/>
    <mergeCell ref="N138:O138"/>
    <mergeCell ref="J139:J144"/>
    <mergeCell ref="J145:J159"/>
    <mergeCell ref="J160:J165"/>
    <mergeCell ref="J167:J173"/>
    <mergeCell ref="J174:J181"/>
    <mergeCell ref="J182:J183"/>
    <mergeCell ref="J186:J188"/>
    <mergeCell ref="J199:J200"/>
    <mergeCell ref="J33:J43"/>
    <mergeCell ref="J44:J116"/>
    <mergeCell ref="J117:J138"/>
    <mergeCell ref="M117:M138"/>
    <mergeCell ref="N118:O118"/>
    <mergeCell ref="N119:O119"/>
    <mergeCell ref="N120:O120"/>
    <mergeCell ref="F128:G128"/>
    <mergeCell ref="F129:G129"/>
    <mergeCell ref="F130:G130"/>
    <mergeCell ref="F131:G131"/>
    <mergeCell ref="F132:G132"/>
    <mergeCell ref="F133:G133"/>
    <mergeCell ref="F134:G134"/>
    <mergeCell ref="F135:G135"/>
    <mergeCell ref="F136:G136"/>
    <mergeCell ref="F137:G137"/>
    <mergeCell ref="F139:G139"/>
    <mergeCell ref="A18:A31"/>
    <mergeCell ref="A33:A43"/>
    <mergeCell ref="A44:A116"/>
    <mergeCell ref="E117:E138"/>
    <mergeCell ref="F118:G118"/>
    <mergeCell ref="F119:G119"/>
    <mergeCell ref="F138:G138"/>
    <mergeCell ref="A184:A190"/>
    <mergeCell ref="A191:A203"/>
    <mergeCell ref="A204:A211"/>
    <mergeCell ref="A212:A222"/>
    <mergeCell ref="A223:A232"/>
    <mergeCell ref="A233:A235"/>
    <mergeCell ref="A236:A245"/>
    <mergeCell ref="A117:A138"/>
    <mergeCell ref="A139:A144"/>
    <mergeCell ref="A145:A159"/>
    <mergeCell ref="A160:A165"/>
    <mergeCell ref="A166:A173"/>
    <mergeCell ref="A174:A181"/>
    <mergeCell ref="A182:A183"/>
    <mergeCell ref="A1:A2"/>
    <mergeCell ref="B1:C1"/>
    <mergeCell ref="J1:J2"/>
    <mergeCell ref="K1:L1"/>
    <mergeCell ref="A3:A17"/>
    <mergeCell ref="J3:J15"/>
    <mergeCell ref="J18:J31"/>
    <mergeCell ref="F120:G120"/>
    <mergeCell ref="F121:G121"/>
    <mergeCell ref="N121:O121"/>
    <mergeCell ref="N122:O122"/>
    <mergeCell ref="F122:G122"/>
    <mergeCell ref="F123:G123"/>
    <mergeCell ref="N123:O123"/>
    <mergeCell ref="N124:O124"/>
    <mergeCell ref="F124:G124"/>
    <mergeCell ref="F125:G125"/>
    <mergeCell ref="F126:G126"/>
    <mergeCell ref="F127:G127"/>
  </mergeCells>
  <printOptions gridLines="1" horizontalCentered="1"/>
  <pageMargins bottom="0.75" footer="0.0" header="0.0" left="0.7" right="0.7" top="0.75"/>
  <pageSetup fitToHeight="0" paperSize="9" cellComments="atEnd" orientation="landscape" pageOrder="overThenDown"/>
  <drawing r:id="rId1"/>
</worksheet>
</file>